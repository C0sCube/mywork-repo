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gencisin-my.sharepoint.com/personal/kaustubh_keny_cogencis_com/Documents/Documents/mywork-repo/"/>
    </mc:Choice>
  </mc:AlternateContent>
  <xr:revisionPtr revIDLastSave="54" documentId="8_{E0DED497-6B59-4B24-9489-3C61D3913AD2}" xr6:coauthVersionLast="47" xr6:coauthVersionMax="47" xr10:uidLastSave="{CFFCB713-5CD0-4448-9639-7EF6D985FB66}"/>
  <bookViews>
    <workbookView xWindow="-120" yWindow="-120" windowWidth="20730" windowHeight="11040" xr2:uid="{00000000-000D-0000-FFFF-FFFF00000000}"/>
  </bookViews>
  <sheets>
    <sheet name="Sheet1" sheetId="1" r:id="rId1"/>
  </sheets>
  <functionGroups builtInGroupCount="19"/>
  <definedNames>
    <definedName name="_xleta.COUN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 a="1"/>
  <c r="D2" i="1" a="1"/>
  <c r="C2" i="1" a="1"/>
  <c r="B2" i="1" a="1"/>
  <c r="E2" i="1" l="1"/>
  <c r="D2" i="1"/>
  <c r="C2" i="1"/>
  <c r="B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<sst xmlns="http://schemas.openxmlformats.org/spreadsheetml/2006/main" count="1309" uniqueCount="739">
  <si>
    <t>360</t>
  </si>
  <si>
    <t>ADITYA</t>
  </si>
  <si>
    <t>BAJAJ</t>
  </si>
  <si>
    <t>BANDHAN</t>
  </si>
  <si>
    <t>BANK</t>
  </si>
  <si>
    <t>BARODA</t>
  </si>
  <si>
    <t>CANARA</t>
  </si>
  <si>
    <t>DSP</t>
  </si>
  <si>
    <t>EDELWEISS</t>
  </si>
  <si>
    <t>FRANKLIN</t>
  </si>
  <si>
    <t>HELIOS</t>
  </si>
  <si>
    <t>INVESCO</t>
  </si>
  <si>
    <t>ITI</t>
  </si>
  <si>
    <t>JM</t>
  </si>
  <si>
    <t>KOTAK</t>
  </si>
  <si>
    <t>MAHINDRA</t>
  </si>
  <si>
    <t>MIRAE</t>
  </si>
  <si>
    <t>MOTILAL</t>
  </si>
  <si>
    <t>NAVI</t>
  </si>
  <si>
    <t>NIPPON</t>
  </si>
  <si>
    <t>NJ</t>
  </si>
  <si>
    <t>QUANTUM</t>
  </si>
  <si>
    <t>SAMCO</t>
  </si>
  <si>
    <t>SUNDARAM</t>
  </si>
  <si>
    <t>TATA</t>
  </si>
  <si>
    <t>TAURUS</t>
  </si>
  <si>
    <t>TRUSTMF</t>
  </si>
  <si>
    <t>UNION</t>
  </si>
  <si>
    <t>UTI</t>
  </si>
  <si>
    <t>WHITEOAK</t>
  </si>
  <si>
    <t>ZERODHA</t>
  </si>
  <si>
    <t>aum</t>
  </si>
  <si>
    <t>2808_rating_profile_of_portfolio</t>
  </si>
  <si>
    <t>1_year</t>
  </si>
  <si>
    <t>additional_purchase_amount</t>
  </si>
  <si>
    <t>0</t>
  </si>
  <si>
    <t>annualised_portfolio_ytm</t>
  </si>
  <si>
    <t>3_year_risk_statistics</t>
  </si>
  <si>
    <t>1</t>
  </si>
  <si>
    <t>additional_investment</t>
  </si>
  <si>
    <t>additional_investment_amount</t>
  </si>
  <si>
    <t>aaum</t>
  </si>
  <si>
    <t>_to_nav</t>
  </si>
  <si>
    <t>before</t>
  </si>
  <si>
    <t>average_maturity</t>
  </si>
  <si>
    <t>aggressive_hybrid_fund</t>
  </si>
  <si>
    <t>additional_benchmark</t>
  </si>
  <si>
    <t>additional</t>
  </si>
  <si>
    <t>15d_3y</t>
  </si>
  <si>
    <t>assistant_fund_manager</t>
  </si>
  <si>
    <t>active_stock_position_in_scheme</t>
  </si>
  <si>
    <t>allotment_date</t>
  </si>
  <si>
    <t>co_fund_manager</t>
  </si>
  <si>
    <t>6800_rating_profile_of_portfolio</t>
  </si>
  <si>
    <t>1_year_3</t>
  </si>
  <si>
    <t>aggregate_value_of_investments_by_other_schemes_of_bank_of_india_mutual_fund_as_on_31_december_2024_is_297.67_lacs.</t>
  </si>
  <si>
    <t>500_thereafter</t>
  </si>
  <si>
    <t>asset_allocation</t>
  </si>
  <si>
    <t>annualised</t>
  </si>
  <si>
    <t>2</t>
  </si>
  <si>
    <t>additional_purchase</t>
  </si>
  <si>
    <t>arbitrage_fund</t>
  </si>
  <si>
    <t>benchmark</t>
  </si>
  <si>
    <t>benchmark_index</t>
  </si>
  <si>
    <t>designation</t>
  </si>
  <si>
    <t>annualized_portfolio_ytm</t>
  </si>
  <si>
    <t>1m_5y</t>
  </si>
  <si>
    <t>assets_under_management</t>
  </si>
  <si>
    <t>also_manages</t>
  </si>
  <si>
    <t>7074_rating_profile_of_portfolio</t>
  </si>
  <si>
    <t>before_credit_risk</t>
  </si>
  <si>
    <t>1_year_3_y</t>
  </si>
  <si>
    <t>aggregate_value_of_investments_by_other_schemes_of_bank_of_india_mutual_fund_as_on_31_december_2024_is_6651.21_lacs.</t>
  </si>
  <si>
    <t>_</t>
  </si>
  <si>
    <t>4</t>
  </si>
  <si>
    <t>arbitrage_investments</t>
  </si>
  <si>
    <t>exit_load</t>
  </si>
  <si>
    <t>beta</t>
  </si>
  <si>
    <t>direct_plan_dividend_option</t>
  </si>
  <si>
    <t>category_of_scheme</t>
  </si>
  <si>
    <t>1y</t>
  </si>
  <si>
    <t>date_of_allotment</t>
  </si>
  <si>
    <t>closing_aum</t>
  </si>
  <si>
    <t>direct_growth</t>
  </si>
  <si>
    <t>7206_rating_profile_of_portfolio</t>
  </si>
  <si>
    <t>before_ctor_undertakings</t>
  </si>
  <si>
    <t>1_year_3_ye</t>
  </si>
  <si>
    <t>average_aum</t>
  </si>
  <si>
    <t>_refer_page_no_59</t>
  </si>
  <si>
    <t>5</t>
  </si>
  <si>
    <t>direct_plan</t>
  </si>
  <si>
    <t>balanced_advantage_fund</t>
  </si>
  <si>
    <t>expense_ratio</t>
  </si>
  <si>
    <t>category</t>
  </si>
  <si>
    <t>direct_plan_growth_option</t>
  </si>
  <si>
    <t>entry_load</t>
  </si>
  <si>
    <t>3y</t>
  </si>
  <si>
    <t>date_of_inceptionallotment</t>
  </si>
  <si>
    <t>direct_idcw</t>
  </si>
  <si>
    <t>8902_rating_profile_of_portfolio</t>
  </si>
  <si>
    <t>before_debt_derivatives_and_money</t>
  </si>
  <si>
    <t>1_year_3_years</t>
  </si>
  <si>
    <t>average_aum#</t>
  </si>
  <si>
    <t>_years_v</t>
  </si>
  <si>
    <t>categorytype</t>
  </si>
  <si>
    <t>7</t>
  </si>
  <si>
    <t>fund_manager</t>
  </si>
  <si>
    <t>annualised_ytm</t>
  </si>
  <si>
    <t>equity_</t>
  </si>
  <si>
    <t>5y</t>
  </si>
  <si>
    <t>company_name</t>
  </si>
  <si>
    <t>direct_monthly_idcw</t>
  </si>
  <si>
    <t>9100_nav_of_plans__options__</t>
  </si>
  <si>
    <t>before_s</t>
  </si>
  <si>
    <t>1_year_3_years_5</t>
  </si>
  <si>
    <t>benchmark^</t>
  </si>
  <si>
    <t>_yeavrs</t>
  </si>
  <si>
    <t>bse__nse_scrip_code</t>
  </si>
  <si>
    <t>8</t>
  </si>
  <si>
    <t>direct_plan_idcw_option</t>
  </si>
  <si>
    <t>futures</t>
  </si>
  <si>
    <t>direct</t>
  </si>
  <si>
    <t>experience</t>
  </si>
  <si>
    <t>7d_1y</t>
  </si>
  <si>
    <t>direct_plan_g</t>
  </si>
  <si>
    <t>fund_size</t>
  </si>
  <si>
    <t>expense_ratio_as_on</t>
  </si>
  <si>
    <t>9577_rating_profile_of_portfolio</t>
  </si>
  <si>
    <t>before_y</t>
  </si>
  <si>
    <t>7_days_15_days_30_days_1_year_3_y</t>
  </si>
  <si>
    <t>certificate_of_deposit</t>
  </si>
  <si>
    <t>_yrs_v</t>
  </si>
  <si>
    <t>d_corporate_bonds</t>
  </si>
  <si>
    <t>com</t>
  </si>
  <si>
    <t>inception_date_18th_july_2006</t>
  </si>
  <si>
    <t>available_plansoptions</t>
  </si>
  <si>
    <t>direct_plan_annual_idcw_option</t>
  </si>
  <si>
    <t>banking_and_psu_fund</t>
  </si>
  <si>
    <t>inception_date</t>
  </si>
  <si>
    <t>a_closeended_eqbuity_leinkefdo_savringes_scheme</t>
  </si>
  <si>
    <t>direct_plan_idcw</t>
  </si>
  <si>
    <t>load_structure</t>
  </si>
  <si>
    <t>f_i</t>
  </si>
  <si>
    <t>direct_growth_option</t>
  </si>
  <si>
    <t>creation_unit_size</t>
  </si>
  <si>
    <t>direct_plan_daily_idcw</t>
  </si>
  <si>
    <t>acking_differences_regular_direct</t>
  </si>
  <si>
    <t>aggregate</t>
  </si>
  <si>
    <t>commercial_paper</t>
  </si>
  <si>
    <t>applicable</t>
  </si>
  <si>
    <t>directional_equity</t>
  </si>
  <si>
    <t>equity_turnover</t>
  </si>
  <si>
    <t>debt_attributions_for_fixed</t>
  </si>
  <si>
    <t>inception_date_18th_june_2024</t>
  </si>
  <si>
    <t>industry_allocation</t>
  </si>
  <si>
    <t>investment_objective</t>
  </si>
  <si>
    <t>earlier_known_as_taurus_discovery_midcap_fund</t>
  </si>
  <si>
    <t>macaulay_duration</t>
  </si>
  <si>
    <t>indicative_investment_horizon</t>
  </si>
  <si>
    <t>direct_idcw_option</t>
  </si>
  <si>
    <t>direct_plan_growth</t>
  </si>
  <si>
    <t>application_amount_for_fresh_subscription</t>
  </si>
  <si>
    <t>composition_by_asset</t>
  </si>
  <si>
    <t>corporate_debt_market_development_fund</t>
  </si>
  <si>
    <t>duration</t>
  </si>
  <si>
    <t>date_of_allotment_main_portfolio</t>
  </si>
  <si>
    <t>bse_code</t>
  </si>
  <si>
    <t>elss_fund</t>
  </si>
  <si>
    <t>inception_date_1st_april_1995</t>
  </si>
  <si>
    <t>minimum_application_amount</t>
  </si>
  <si>
    <t>avg_aum</t>
  </si>
  <si>
    <t>earlier_known_as_taurus_largecap_equity_fund</t>
  </si>
  <si>
    <t>metrics</t>
  </si>
  <si>
    <t>expense_ratio_pa_</t>
  </si>
  <si>
    <t>direct_plan_weekly_idcw</t>
  </si>
  <si>
    <t>composition_by_industry</t>
  </si>
  <si>
    <t>bandhan_asset_allocation_fund__conservative_plan</t>
  </si>
  <si>
    <t>duration_of_the</t>
  </si>
  <si>
    <t>bharat_bond_etf_april_2025</t>
  </si>
  <si>
    <t>face_value_per_unit</t>
  </si>
  <si>
    <t>inception_date_21st_november_2022</t>
  </si>
  <si>
    <t>fund_managers</t>
  </si>
  <si>
    <t>direct_plan_quarterly_idcw_option</t>
  </si>
  <si>
    <t>managing_since</t>
  </si>
  <si>
    <t>bloomberg_code</t>
  </si>
  <si>
    <t>nav</t>
  </si>
  <si>
    <t>earlier_known_as_taurus_starshare_mul_cap_fund</t>
  </si>
  <si>
    <t>minimum_additional</t>
  </si>
  <si>
    <t>direct_quarterly_idcw</t>
  </si>
  <si>
    <t>composition_by_rating</t>
  </si>
  <si>
    <t>debt_parameter_(as_on_december_31,_2024)</t>
  </si>
  <si>
    <t>e</t>
  </si>
  <si>
    <t>bharat_bond_etf_april_2030</t>
  </si>
  <si>
    <t>european_opportunities_fund</t>
  </si>
  <si>
    <t>days_from_the_date_of_allotment</t>
  </si>
  <si>
    <t>inception_date_23rd_september_2008</t>
  </si>
  <si>
    <t>growth</t>
  </si>
  <si>
    <t>entry__exit_load</t>
  </si>
  <si>
    <t>monthly_average_aum</t>
  </si>
  <si>
    <t>bonus_option</t>
  </si>
  <si>
    <t>portfolio_turnover_ratio</t>
  </si>
  <si>
    <t>earlier_known_as_taurus_tax_shield</t>
  </si>
  <si>
    <t>minimum_redemption_switchout_amount</t>
  </si>
  <si>
    <t>scheme_details</t>
  </si>
  <si>
    <t>hedged_equity_exposure</t>
  </si>
  <si>
    <t>december_31,_2024</t>
  </si>
  <si>
    <t>business_day_of_the_month</t>
  </si>
  <si>
    <t>managing_this_fund</t>
  </si>
  <si>
    <t>ely_high_interest</t>
  </si>
  <si>
    <t>bharat_bond_etf_april_2031</t>
  </si>
  <si>
    <t>existing_investors</t>
  </si>
  <si>
    <t>debt_investments</t>
  </si>
  <si>
    <t>flexi_cap_fund</t>
  </si>
  <si>
    <t>inception_date_25th_june_2003</t>
  </si>
  <si>
    <t>idcw</t>
  </si>
  <si>
    <t>name</t>
  </si>
  <si>
    <t>bse_scrip_code</t>
  </si>
  <si>
    <t>redemption_proceeds</t>
  </si>
  <si>
    <t>modified_duration</t>
  </si>
  <si>
    <t>formerly_known_as_iifl_dynamic_bond_fund</t>
  </si>
  <si>
    <t>development_fund</t>
  </si>
  <si>
    <t>erstwhile_known_as_dsp_equal_nif</t>
  </si>
  <si>
    <t>bharat_bond_etf_april_2032</t>
  </si>
  <si>
    <t>focused_fund</t>
  </si>
  <si>
    <t>inception_date_27th_september_2006</t>
  </si>
  <si>
    <t>jensons</t>
  </si>
  <si>
    <t>conservative_hybrid_fund</t>
  </si>
  <si>
    <t>fund_size_monthly_average</t>
  </si>
  <si>
    <t>load</t>
  </si>
  <si>
    <t>formerly_known_as_iifl_elss_nifty_50_tax_saver_index_fund</t>
  </si>
  <si>
    <t>company_name_isin_y</t>
  </si>
  <si>
    <t>duration_%_of_assets</t>
  </si>
  <si>
    <t>minimum_investment</t>
  </si>
  <si>
    <t>bharat_bond_etf_april_2033</t>
  </si>
  <si>
    <t>large_mid_cap_fund_an_openended_equity_scheme_investing_in_both_large_cap_and_mid_cap_stocks</t>
  </si>
  <si>
    <t>inception_date_29th_august_2022</t>
  </si>
  <si>
    <t>market_capital</t>
  </si>
  <si>
    <t>idcw_history</t>
  </si>
  <si>
    <t>performance_as_on_31_december_2024</t>
  </si>
  <si>
    <t>corporate_bond_fund</t>
  </si>
  <si>
    <t>total_expense_ratio</t>
  </si>
  <si>
    <t>regular_growth</t>
  </si>
  <si>
    <t>highlow_nav_in_the_month</t>
  </si>
  <si>
    <t>launched</t>
  </si>
  <si>
    <t>company_name_isin_yt</t>
  </si>
  <si>
    <t>directly_with_the_mutual_fund</t>
  </si>
  <si>
    <t>debt_portion</t>
  </si>
  <si>
    <t>equity_futures</t>
  </si>
  <si>
    <t>direct_growth_v</t>
  </si>
  <si>
    <t>large_cap_fund_an_open_ended_e</t>
  </si>
  <si>
    <t>expense_ratio_</t>
  </si>
  <si>
    <t>inception_date_2nd_june_1997</t>
  </si>
  <si>
    <t>regular_plan_dividend_option</t>
  </si>
  <si>
    <t>jenson</t>
  </si>
  <si>
    <t>month_end_aum</t>
  </si>
  <si>
    <t>lockin_period</t>
  </si>
  <si>
    <t>company_name_isin_ytm_ytc</t>
  </si>
  <si>
    <t>equity_holdings</t>
  </si>
  <si>
    <t>direct_idcw_v</t>
  </si>
  <si>
    <t>monthend_aum</t>
  </si>
  <si>
    <t>last_0_months</t>
  </si>
  <si>
    <t>expense_ratio_direct</t>
  </si>
  <si>
    <t>minimum_investment_amount</t>
  </si>
  <si>
    <t>doubt_about_whether_the_product_is_suitable_f</t>
  </si>
  <si>
    <t>income_portion</t>
  </si>
  <si>
    <t>inception_date_31st_december_1997</t>
  </si>
  <si>
    <t>regular_plan_growth_option</t>
  </si>
  <si>
    <t>credit_risk_fund</t>
  </si>
  <si>
    <t>total_expense_ratio_direct</t>
  </si>
  <si>
    <t>equity</t>
  </si>
  <si>
    <t>equity_parameter_(as_on_december_31,_2024)</t>
  </si>
  <si>
    <t>direct_plan_adhoc_idcw_option_v</t>
  </si>
  <si>
    <t>monthly_avg_aum</t>
  </si>
  <si>
    <t>last_10_months</t>
  </si>
  <si>
    <t>expense_ratio_direct_</t>
  </si>
  <si>
    <t>equity_investments</t>
  </si>
  <si>
    <t>inception_date_31st_march_2008</t>
  </si>
  <si>
    <t>folio_count</t>
  </si>
  <si>
    <t>minimum_additional_purchase_amount</t>
  </si>
  <si>
    <t>latest_aum</t>
  </si>
  <si>
    <t>managing_the_scheme_since</t>
  </si>
  <si>
    <t>total_expense_ratio_regular</t>
  </si>
  <si>
    <t>lock_in_period</t>
  </si>
  <si>
    <t>debt__debt_related</t>
  </si>
  <si>
    <t>exchange_traded_funds</t>
  </si>
  <si>
    <t>direct_plan_annual_idcw_option_v</t>
  </si>
  <si>
    <t>last_11_months</t>
  </si>
  <si>
    <t>feeder__franklin_us_opportunities_fund</t>
  </si>
  <si>
    <t>large__mid_cap_fund</t>
  </si>
  <si>
    <t>inception_date_3rd_december_2019</t>
  </si>
  <si>
    <t>folio_count_data_as_on_30th_november</t>
  </si>
  <si>
    <t>net_aum</t>
  </si>
  <si>
    <t>tracking_error</t>
  </si>
  <si>
    <t>date_of_recategorisation</t>
  </si>
  <si>
    <t>min_application</t>
  </si>
  <si>
    <t>inception</t>
  </si>
  <si>
    <t>yield</t>
  </si>
  <si>
    <t>net_equity_exposure</t>
  </si>
  <si>
    <t>equity__equity_related</t>
  </si>
  <si>
    <t>direct_plan_daily_idcw_option_v</t>
  </si>
  <si>
    <t>plans_options</t>
  </si>
  <si>
    <t>last_12_months</t>
  </si>
  <si>
    <t>direct_plan_daily_idcw_option</t>
  </si>
  <si>
    <t>for_existing_investors</t>
  </si>
  <si>
    <t>for_the_month</t>
  </si>
  <si>
    <t>large_cap_fund</t>
  </si>
  <si>
    <t>inception_date_5th_march_2008</t>
  </si>
  <si>
    <t>folio_count_data_as_on_30th_november_2024</t>
  </si>
  <si>
    <t>minimum_repurchase_amount</t>
  </si>
  <si>
    <t>o_h</t>
  </si>
  <si>
    <t>minapplication</t>
  </si>
  <si>
    <t>portfolio_details</t>
  </si>
  <si>
    <t>min_investment</t>
  </si>
  <si>
    <t>mr_manumaharaj</t>
  </si>
  <si>
    <t>experience_in_managing_the_fund</t>
  </si>
  <si>
    <t>direct_plan_growth_option_v</t>
  </si>
  <si>
    <t>portfolio</t>
  </si>
  <si>
    <t>last_3_months</t>
  </si>
  <si>
    <t>direct_plan_fortnightly_idcw_option</t>
  </si>
  <si>
    <t>for_franklin_india_feeder__templeton</t>
  </si>
  <si>
    <t>plans_and_options</t>
  </si>
  <si>
    <t>liquid_fund</t>
  </si>
  <si>
    <t>isin</t>
  </si>
  <si>
    <t>monthly_aaum</t>
  </si>
  <si>
    <t>others</t>
  </si>
  <si>
    <t>information_ratio</t>
  </si>
  <si>
    <t>mul_tiples_for_existing_investors</t>
  </si>
  <si>
    <t>for_transactions_directly_with_the_fund</t>
  </si>
  <si>
    <t>government_bond</t>
  </si>
  <si>
    <t>direct_plan_growth_v</t>
  </si>
  <si>
    <t>portfolio_beta</t>
  </si>
  <si>
    <t>last_7_months</t>
  </si>
  <si>
    <t>for_new_investors</t>
  </si>
  <si>
    <t>fund_pb</t>
  </si>
  <si>
    <t>idcw_frequency</t>
  </si>
  <si>
    <t>monthly_aum</t>
  </si>
  <si>
    <t>plan_available</t>
  </si>
  <si>
    <t>direct_growth_plan</t>
  </si>
  <si>
    <t>last_1_year</t>
  </si>
  <si>
    <t>mul_tiples_for_new_investment</t>
  </si>
  <si>
    <t>regular_plan</t>
  </si>
  <si>
    <t>for_transactions_on_stock_exchanges</t>
  </si>
  <si>
    <t>minimum_additional_investment_amount</t>
  </si>
  <si>
    <t>india_elss_tax_saver_w.e.f._december_26,_2023.</t>
  </si>
  <si>
    <t>direct_plan_idcw_option_v</t>
  </si>
  <si>
    <t>ideal_investments_horizon</t>
  </si>
  <si>
    <t>pursuant_to_clause</t>
  </si>
  <si>
    <t>direct_idcw_plan</t>
  </si>
  <si>
    <t>last_3_years</t>
  </si>
  <si>
    <t>multiples_for_existing_investors</t>
  </si>
  <si>
    <t>porolio_turnover</t>
  </si>
  <si>
    <t>direct_plan_monthly_idcw_option_v</t>
  </si>
  <si>
    <t>product_positioning</t>
  </si>
  <si>
    <t>direct_plan_idcw_annual</t>
  </si>
  <si>
    <t>growth_plan</t>
  </si>
  <si>
    <t>potential_risk_class_prc</t>
  </si>
  <si>
    <t>investors_should_consult_their_financial_advi</t>
  </si>
  <si>
    <t>mid_cap_fund</t>
  </si>
  <si>
    <t>name_of_instrument__to_nav_rating</t>
  </si>
  <si>
    <t>initial__additional_investment</t>
  </si>
  <si>
    <t>dynamic_bond_fund</t>
  </si>
  <si>
    <t>options</t>
  </si>
  <si>
    <t>last_5_years</t>
  </si>
  <si>
    <t>multiples_for_new_inv_estment</t>
  </si>
  <si>
    <t>investor_exit_upon_subscription_exit_load_(as_a_%_of_redemption_proceeds)</t>
  </si>
  <si>
    <t>direct_plan_quarterly_idcw_option_v</t>
  </si>
  <si>
    <t>residual_maturity</t>
  </si>
  <si>
    <t>month_end_expense</t>
  </si>
  <si>
    <t>direct_plan_idcw_fortnightly</t>
  </si>
  <si>
    <t>idcw_plan</t>
  </si>
  <si>
    <t>minimum_application</t>
  </si>
  <si>
    <t>initial_investment</t>
  </si>
  <si>
    <t>option</t>
  </si>
  <si>
    <t>tracking_error_value</t>
  </si>
  <si>
    <t>elss</t>
  </si>
  <si>
    <t>plans</t>
  </si>
  <si>
    <t>longterm_performance_10000_invested</t>
  </si>
  <si>
    <t>multiples_for_new_investment</t>
  </si>
  <si>
    <t>regular_plan_g</t>
  </si>
  <si>
    <t>number_of_segregated_porolio_in_the_scheme_1</t>
  </si>
  <si>
    <t>r_squared</t>
  </si>
  <si>
    <t>ip_of_10000_per_month</t>
  </si>
  <si>
    <t>on_exchange</t>
  </si>
  <si>
    <t>direct_plan_weekly_idcw_option_v</t>
  </si>
  <si>
    <t>rsquared</t>
  </si>
  <si>
    <t>month_end_expense_ratio</t>
  </si>
  <si>
    <t>direct_plan_idcw_monthly</t>
  </si>
  <si>
    <t>listing_exchange</t>
  </si>
  <si>
    <t>multicap_fund</t>
  </si>
  <si>
    <t>portfolio_information</t>
  </si>
  <si>
    <t>regular_idcw</t>
  </si>
  <si>
    <t>regular_plan_idcw</t>
  </si>
  <si>
    <t>number_of_segregated_portfolio_in_the_scheme_1</t>
  </si>
  <si>
    <t>past_performance</t>
  </si>
  <si>
    <t>minimum_investment_amount_</t>
  </si>
  <si>
    <t>latest_aum#</t>
  </si>
  <si>
    <t>direct_plangrowth_option_v</t>
  </si>
  <si>
    <t>regular_plan_idcw_option</t>
  </si>
  <si>
    <t>portfolio_turnover_ratio_last_1_year</t>
  </si>
  <si>
    <t>equity__etf</t>
  </si>
  <si>
    <t>sharpe_rao</t>
  </si>
  <si>
    <t>number_of_segregated_portfolio_in_the_scheme_3</t>
  </si>
  <si>
    <t>regular_half_yearly_idcw</t>
  </si>
  <si>
    <t>managing_fund_since</t>
  </si>
  <si>
    <t>load_structure_(for_all_plans)</t>
  </si>
  <si>
    <t>direct_planidcw_v</t>
  </si>
  <si>
    <t>scheme_objective</t>
  </si>
  <si>
    <t>direct_plan_monthly_idcw_option</t>
  </si>
  <si>
    <t>lockin_period__minimum</t>
  </si>
  <si>
    <t>scheme_category</t>
  </si>
  <si>
    <t>overnight_fund</t>
  </si>
  <si>
    <t>portfolio_turnover_ratio_last_one_year</t>
  </si>
  <si>
    <t>equity__retirement</t>
  </si>
  <si>
    <t>minimum_amount</t>
  </si>
  <si>
    <t>standard_deviaon</t>
  </si>
  <si>
    <t>number_of_segregated_portfolio_in_the_scheme_4</t>
  </si>
  <si>
    <t>quarterly_average_aum</t>
  </si>
  <si>
    <t>portfolio_as_on_31_december_20</t>
  </si>
  <si>
    <t>minimum_application_amount_(lumpsum)</t>
  </si>
  <si>
    <t>exchange_listed</t>
  </si>
  <si>
    <t>sharpe_ratio</t>
  </si>
  <si>
    <t>portfolio_macaulay</t>
  </si>
  <si>
    <t>lockinperiod</t>
  </si>
  <si>
    <t>quarterly_aaum</t>
  </si>
  <si>
    <t>regular</t>
  </si>
  <si>
    <t>equity_savings</t>
  </si>
  <si>
    <t>total_expense</t>
  </si>
  <si>
    <t>regular_monthly_idcw</t>
  </si>
  <si>
    <t>min_addl_investment</t>
  </si>
  <si>
    <t>portfolio_as_on_31_december_2024</t>
  </si>
  <si>
    <t>nav_(as_on_december_31,_2024)_nav_(_)</t>
  </si>
  <si>
    <t>exchange_symbol</t>
  </si>
  <si>
    <t>standard_deviation</t>
  </si>
  <si>
    <t>direct_plan_weekly_idcw_option</t>
  </si>
  <si>
    <t>regular_plan_annual_idcw_option</t>
  </si>
  <si>
    <t>porolio_details</t>
  </si>
  <si>
    <t>non-convertible_debentures</t>
  </si>
  <si>
    <t>total_experience</t>
  </si>
  <si>
    <t>portfolio_ytm</t>
  </si>
  <si>
    <t>macaulay_duration_</t>
  </si>
  <si>
    <t>total_turnover</t>
  </si>
  <si>
    <t>minimum_investmentcid3</t>
  </si>
  <si>
    <t>sectoral_thematic</t>
  </si>
  <si>
    <t>nearterm_performance</t>
  </si>
  <si>
    <t>reg_growth</t>
  </si>
  <si>
    <t>porolio_parameters</t>
  </si>
  <si>
    <t>regular_plan_daily_idcw</t>
  </si>
  <si>
    <t>mpany_name_isin_ytm</t>
  </si>
  <si>
    <t>option_available</t>
  </si>
  <si>
    <t>other_parameters</t>
  </si>
  <si>
    <t>ptc</t>
  </si>
  <si>
    <t>sectoral_thematic_fund</t>
  </si>
  <si>
    <t>reg_idcw</t>
  </si>
  <si>
    <t>quantave_indicators</t>
  </si>
  <si>
    <t>regular_plan_growth</t>
  </si>
  <si>
    <t>option_available_</t>
  </si>
  <si>
    <t>other_parameters_(as_on_december_31,_2024)</t>
  </si>
  <si>
    <t>rate_credit_risk</t>
  </si>
  <si>
    <t>month</t>
  </si>
  <si>
    <t>small_cap_fund</t>
  </si>
  <si>
    <t>pbv</t>
  </si>
  <si>
    <t>sharpe</t>
  </si>
  <si>
    <t>regular_plan_quarterly_idcw_option</t>
  </si>
  <si>
    <t>type_of_the_scheme</t>
  </si>
  <si>
    <t>performance_10000_invested</t>
  </si>
  <si>
    <t>regular_plan_weekly_idcw</t>
  </si>
  <si>
    <t>p_of_10000_per_month</t>
  </si>
  <si>
    <t>plan_option_freq_nav</t>
  </si>
  <si>
    <t>portfolio_turnover_ratio_(as_on_december_31,_2024)</t>
  </si>
  <si>
    <t>small_cap_fund_an_open_ended_eq</t>
  </si>
  <si>
    <t>pe</t>
  </si>
  <si>
    <t>fixed_income__etf</t>
  </si>
  <si>
    <t>work_experience</t>
  </si>
  <si>
    <t>performance_10000_invested_value_of_10000amonth_sip</t>
  </si>
  <si>
    <t>regular_growth_option</t>
  </si>
  <si>
    <t>regular_quarterly_idcw</t>
  </si>
  <si>
    <t>rating_profile_of_portfolio</t>
  </si>
  <si>
    <t>preference_shares</t>
  </si>
  <si>
    <t>june_22_2012</t>
  </si>
  <si>
    <t>tion_of_the_portfolio_is_between_3</t>
  </si>
  <si>
    <t>minimum_investment_for_new_</t>
  </si>
  <si>
    <t>value_fund</t>
  </si>
  <si>
    <t>portfolio_turnover</t>
  </si>
  <si>
    <t>fixed_income__retirement</t>
  </si>
  <si>
    <t>yield_to_maturity</t>
  </si>
  <si>
    <t>period</t>
  </si>
  <si>
    <t>regular_idcw_option</t>
  </si>
  <si>
    <t>saravanaraj</t>
  </si>
  <si>
    <t>state_government_bond</t>
  </si>
  <si>
    <t>june_28_2024</t>
  </si>
  <si>
    <t>total_aum</t>
  </si>
  <si>
    <t>minimum_creation_unit_size</t>
  </si>
  <si>
    <t>minimum_investment_for_sip</t>
  </si>
  <si>
    <t>nse_symbol</t>
  </si>
  <si>
    <t>ytm</t>
  </si>
  <si>
    <t>sip</t>
  </si>
  <si>
    <t>total_(5.60)</t>
  </si>
  <si>
    <t>key_statistics</t>
  </si>
  <si>
    <t>tracking_error_</t>
  </si>
  <si>
    <t>minimum_investmentmultiples</t>
  </si>
  <si>
    <t>p_oduct_s_su_tab_e_o_t_e</t>
  </si>
  <si>
    <t>floater_fund</t>
  </si>
  <si>
    <t>tracking_error_as_on_31_december_2024</t>
  </si>
  <si>
    <t>sip_performance__regular_plan__growth_assuming_s</t>
  </si>
  <si>
    <t>total_0.00</t>
  </si>
  <si>
    <t>y_low_credit_risk</t>
  </si>
  <si>
    <t>treynor</t>
  </si>
  <si>
    <t>uti_corporate_bond_fund_is_an_open_ended_debt_scheme_predominantly_invesng_in_aa_and_above_rated_corporate_bonds</t>
  </si>
  <si>
    <t>statistical_debt_indicators</t>
  </si>
  <si>
    <t>sip_performance__regular_plan__growth_assuming_sip</t>
  </si>
  <si>
    <t>total_0.01</t>
  </si>
  <si>
    <t>lumpsum_details</t>
  </si>
  <si>
    <t>modified_duration_</t>
  </si>
  <si>
    <t>pricing_per_unit</t>
  </si>
  <si>
    <t>uti_gilt_fund_is_an_open_ended_debt_scheme_invesng_in_government_securies_across_maturies_relavely_high_interest_rate_risk</t>
  </si>
  <si>
    <t>std_dev</t>
  </si>
  <si>
    <t>t</t>
  </si>
  <si>
    <t>remaining_investment</t>
  </si>
  <si>
    <t>total_0.02</t>
  </si>
  <si>
    <t>month_end</t>
  </si>
  <si>
    <t>redemption_within_x_number_of_exit_load</t>
  </si>
  <si>
    <t>fund_of_fund</t>
  </si>
  <si>
    <t>series_i</t>
  </si>
  <si>
    <t>tm_ytc</t>
  </si>
  <si>
    <t>scheme_name</t>
  </si>
  <si>
    <t>total_0.04</t>
  </si>
  <si>
    <t>monthly_average</t>
  </si>
  <si>
    <t>gilt_fund</t>
  </si>
  <si>
    <t>series_ii</t>
  </si>
  <si>
    <t>tracking_difference</t>
  </si>
  <si>
    <t>scheme_riskometer</t>
  </si>
  <si>
    <t>total_0.18</t>
  </si>
  <si>
    <t>march_05_2024</t>
  </si>
  <si>
    <t>plan__options</t>
  </si>
  <si>
    <t>regular_plan_annual_idcw</t>
  </si>
  <si>
    <t>gold__fof</t>
  </si>
  <si>
    <t>series_iii</t>
  </si>
  <si>
    <t>total_net_assets</t>
  </si>
  <si>
    <t>simple_annualised_</t>
  </si>
  <si>
    <t>total_0.26</t>
  </si>
  <si>
    <t>planoptions</t>
  </si>
  <si>
    <t>multiples_for_new_investors</t>
  </si>
  <si>
    <t>regular_plan_bonus</t>
  </si>
  <si>
    <t>series_iv</t>
  </si>
  <si>
    <t>tra</t>
  </si>
  <si>
    <t>sip_dates_monthly</t>
  </si>
  <si>
    <t>total_0.29</t>
  </si>
  <si>
    <t>minimum_additional_application_amount</t>
  </si>
  <si>
    <t>series_v</t>
  </si>
  <si>
    <t>tracking_differences</t>
  </si>
  <si>
    <t>sip_dates_monthlyquarterly</t>
  </si>
  <si>
    <t>total_0.30</t>
  </si>
  <si>
    <t>opportunities_fund</t>
  </si>
  <si>
    <t>regular_plan_discretionary_idcw</t>
  </si>
  <si>
    <t>index_fund</t>
  </si>
  <si>
    <t>series_vi</t>
  </si>
  <si>
    <t>tracking_differences_regular</t>
  </si>
  <si>
    <t>sip_frequency</t>
  </si>
  <si>
    <t>total_0.33</t>
  </si>
  <si>
    <t>tracking_differences_regular_direct</t>
  </si>
  <si>
    <t>sip_minimum_amount</t>
  </si>
  <si>
    <t>total_0.35</t>
  </si>
  <si>
    <t>regular_plan_daily_idcw_option</t>
  </si>
  <si>
    <t>regular_plan_monthly_idcw</t>
  </si>
  <si>
    <t>si</t>
  </si>
  <si>
    <t>sip_minimum_amount_</t>
  </si>
  <si>
    <t>total_0.39</t>
  </si>
  <si>
    <t>multiples_of_1_thereafter</t>
  </si>
  <si>
    <t>regular_plan_quarterly_idcw</t>
  </si>
  <si>
    <t>since</t>
  </si>
  <si>
    <t>ytc</t>
  </si>
  <si>
    <t>total_0.51</t>
  </si>
  <si>
    <t>multiples_of_500_thereafter</t>
  </si>
  <si>
    <t>regular_plan_idcw_annual</t>
  </si>
  <si>
    <t>residual_maturity_</t>
  </si>
  <si>
    <t>since_inception</t>
  </si>
  <si>
    <t>ytm_ytc</t>
  </si>
  <si>
    <t>tier_2</t>
  </si>
  <si>
    <t>total_0.72</t>
  </si>
  <si>
    <t>regular_plan_idcw_daily</t>
  </si>
  <si>
    <t>sip_stp_swp</t>
  </si>
  <si>
    <t>total_1.20</t>
  </si>
  <si>
    <t>regular_plan_idcw_fortnightly</t>
  </si>
  <si>
    <t>scheme_characteristics</t>
  </si>
  <si>
    <t>total_1.23</t>
  </si>
  <si>
    <t>nifty_bank_etfrg_v</t>
  </si>
  <si>
    <t>regular_plan_idcw_monthly</t>
  </si>
  <si>
    <t>long_duration_fund</t>
  </si>
  <si>
    <t>turnover_ratio</t>
  </si>
  <si>
    <t>total_1.49</t>
  </si>
  <si>
    <t>low_duration_fund</t>
  </si>
  <si>
    <t>wwwsundarammutualcom_sundaram_mutual_fund_page_10</t>
  </si>
  <si>
    <t>total_1.52</t>
  </si>
  <si>
    <t>regular_growth_v</t>
  </si>
  <si>
    <t>regular_plan_idcw_weekly</t>
  </si>
  <si>
    <t>target_investment</t>
  </si>
  <si>
    <t>w_eighted_average_expense_ratio_for_the_month</t>
  </si>
  <si>
    <t>wwwsundarammutualcom_sundaram_mutual_fund_page_11</t>
  </si>
  <si>
    <t>total_1.77</t>
  </si>
  <si>
    <t>regular_idcw_v</t>
  </si>
  <si>
    <t>regular_plan_monthly_idcw_option</t>
  </si>
  <si>
    <t>tax_benefits</t>
  </si>
  <si>
    <t>ytm4</t>
  </si>
  <si>
    <t>main_portfolio_segregated_portfolio_12</t>
  </si>
  <si>
    <t>wwwsundarammutualcom_sundaram_mutual_fund_page_12</t>
  </si>
  <si>
    <t>total_1.97</t>
  </si>
  <si>
    <t>regular_plan_adhoc_idcw_option_v</t>
  </si>
  <si>
    <t>regular_plan_weekly_idcw_option</t>
  </si>
  <si>
    <t>total_portfolio</t>
  </si>
  <si>
    <t>main_portfolio_segregated_portfolio_2</t>
  </si>
  <si>
    <t>wwwsundarammutualcom_sundaram_mutual_fund_page_13</t>
  </si>
  <si>
    <t>total_10.09</t>
  </si>
  <si>
    <t>regular_plan_annual_idcw_option_v</t>
  </si>
  <si>
    <t>tracking_error_for_3_year_period_</t>
  </si>
  <si>
    <t>main_segregated_portfolio_12</t>
  </si>
  <si>
    <t>wwwsundarammutualcom_sundaram_mutual_fund_page_14</t>
  </si>
  <si>
    <t>total_12.81</t>
  </si>
  <si>
    <t>regular_plan_daily_idcw_option_v</t>
  </si>
  <si>
    <t>type_of_scheme</t>
  </si>
  <si>
    <t>main_segregated_portfolio_2</t>
  </si>
  <si>
    <t>wwwsundarammutualcom_sundaram_mutual_fund_page_15</t>
  </si>
  <si>
    <t>total_12.98</t>
  </si>
  <si>
    <t>regular_plan_growth_option_v</t>
  </si>
  <si>
    <t>wwwsundarammutualcom_sundaram_mutual_fund_page_16</t>
  </si>
  <si>
    <t>total_13.26</t>
  </si>
  <si>
    <t>regular_plan_growth_v</t>
  </si>
  <si>
    <t>medium_duration_fund</t>
  </si>
  <si>
    <t>wwwsundarammutualcom_sundaram_mutual_fund_page_17</t>
  </si>
  <si>
    <t>total_13.53</t>
  </si>
  <si>
    <t>regular_plan_half_yearly_idcw_option_v</t>
  </si>
  <si>
    <t>medium_to_long_duration_fund</t>
  </si>
  <si>
    <t>wwwsundarammutualcom_sundaram_mutual_fund_page_18</t>
  </si>
  <si>
    <t>total_15.96</t>
  </si>
  <si>
    <t>regular_plan_idcw_option_v</t>
  </si>
  <si>
    <t>wwwsundarammutualcom_sundaram_mutual_fund_page_19</t>
  </si>
  <si>
    <t>total_16.67</t>
  </si>
  <si>
    <t>regular_plan_monthly_idcw_option_v</t>
  </si>
  <si>
    <t>wwwsundarammutualcom_sundaram_mutual_fund_page_20</t>
  </si>
  <si>
    <t>total_17.82</t>
  </si>
  <si>
    <t>regular_plan_quarterly_idcw_option_v</t>
  </si>
  <si>
    <t>modied_duration</t>
  </si>
  <si>
    <t>wwwsundarammutualcom_sundaram_mutual_fund_page_21</t>
  </si>
  <si>
    <t>total_19.86</t>
  </si>
  <si>
    <t>regular_plan_weekly_idcw_option_v</t>
  </si>
  <si>
    <t>wwwsundarammutualcom_sundaram_mutual_fund_page_22</t>
  </si>
  <si>
    <t>total_2.04</t>
  </si>
  <si>
    <t>regular_plangrowth_option_v</t>
  </si>
  <si>
    <t>money_market_fund</t>
  </si>
  <si>
    <t>wwwsundarammutualcom_sundaram_mutual_fund_page_23</t>
  </si>
  <si>
    <t>total_2.24</t>
  </si>
  <si>
    <t>regular_planidcw_v</t>
  </si>
  <si>
    <t>wwwsundarammutualcom_sundaram_mutual_fund_page_24</t>
  </si>
  <si>
    <t>total_2.42</t>
  </si>
  <si>
    <t>september_07_2018</t>
  </si>
  <si>
    <t>wwwsundarammutualcom_sundaram_mutual_fund_page_25</t>
  </si>
  <si>
    <t>total_2.45</t>
  </si>
  <si>
    <t>september_15_2021</t>
  </si>
  <si>
    <t>multi_cap_fund</t>
  </si>
  <si>
    <t>wwwsundarammutualcom_sundaram_mutual_fund_page_26</t>
  </si>
  <si>
    <t>total_2.50</t>
  </si>
  <si>
    <t>wwwsundarammutualcom_sundaram_mutual_fund_page_27</t>
  </si>
  <si>
    <t>total_2.63</t>
  </si>
  <si>
    <t>wwwsundarammutualcom_sundaram_mutual_fund_page_28</t>
  </si>
  <si>
    <t>total_2.67</t>
  </si>
  <si>
    <t>ter_direct_plan</t>
  </si>
  <si>
    <t>wwwsundarammutualcom_sundaram_mutual_fund_page_29</t>
  </si>
  <si>
    <t>total_2.83</t>
  </si>
  <si>
    <t>ter_regular_plan</t>
  </si>
  <si>
    <t>wwwsundarammutualcom_sundaram_mutual_fund_page_30</t>
  </si>
  <si>
    <t>total_21.37</t>
  </si>
  <si>
    <t>the_risk_free_rate_of_return_considered_for_calculation_of_sharpe_ratio_is_715_as_per_1_day_mibor_rate_on_the_last_business_day_of_the_month</t>
  </si>
  <si>
    <t>pricing_per_unit_approximately</t>
  </si>
  <si>
    <t>wwwsundarammutualcom_sundaram_mutual_fund_page_31</t>
  </si>
  <si>
    <t>total_22.65</t>
  </si>
  <si>
    <t>wwwsundarammutualcom_sundaram_mutual_fund_page_32</t>
  </si>
  <si>
    <t>total_27.40</t>
  </si>
  <si>
    <t>tracking_error_direct</t>
  </si>
  <si>
    <t>reuters_code</t>
  </si>
  <si>
    <t>wwwsundarammutualcom_sundaram_mutual_fund_page_33</t>
  </si>
  <si>
    <t>total_27.49</t>
  </si>
  <si>
    <t>tracking_error_regular</t>
  </si>
  <si>
    <t>sector_fund</t>
  </si>
  <si>
    <t>wwwsundarammutualcom_sundaram_mutual_fund_page_34</t>
  </si>
  <si>
    <t>total_3.55</t>
  </si>
  <si>
    <t>unclaimed_idcw_greater_than</t>
  </si>
  <si>
    <t>segregated_portfolio_1</t>
  </si>
  <si>
    <t>wwwsundarammutualcom_sundaram_mutual_fund_page_35</t>
  </si>
  <si>
    <t>total_3.89</t>
  </si>
  <si>
    <t>unclaimed_idcw_up_to</t>
  </si>
  <si>
    <t>segregated_portfolio_2</t>
  </si>
  <si>
    <t>wwwsundarammutualcom_sundaram_mutual_fund_page_36</t>
  </si>
  <si>
    <t>total_30.16</t>
  </si>
  <si>
    <t>unclaimed_redemption_greater_than</t>
  </si>
  <si>
    <t>wwwsundarammutualcom_sundaram_mutual_fund_page_37</t>
  </si>
  <si>
    <t>total_34.94</t>
  </si>
  <si>
    <t>unclaimed_redemption_up_to</t>
  </si>
  <si>
    <t>short_duration_fund</t>
  </si>
  <si>
    <t>wwwsundarammutualcom_sundaram_mutual_fund_page_38</t>
  </si>
  <si>
    <t>total_39.34</t>
  </si>
  <si>
    <t>silver__fof</t>
  </si>
  <si>
    <t>wwwsundarammutualcom_sundaram_mutual_fund_page_39</t>
  </si>
  <si>
    <t>total_4.44</t>
  </si>
  <si>
    <t>wwwsundarammutualcom_sundaram_mutual_fund_page_40</t>
  </si>
  <si>
    <t>total_4.48</t>
  </si>
  <si>
    <t>wwwsundarammutualcom_sundaram_mutual_fund_page_7</t>
  </si>
  <si>
    <t>total_4.55</t>
  </si>
  <si>
    <t>thematic_following_a_factor_based_model</t>
  </si>
  <si>
    <t>wwwsundarammutualcom_sundaram_mutual_fund_page_8</t>
  </si>
  <si>
    <t>total_4.92</t>
  </si>
  <si>
    <t>thematic_fund</t>
  </si>
  <si>
    <t>wwwsundarammutualcom_sundaram_mutual_fund_page_9</t>
  </si>
  <si>
    <t>total_40.34</t>
  </si>
  <si>
    <t>thematic_international</t>
  </si>
  <si>
    <t>total_5.04</t>
  </si>
  <si>
    <t>total_5.99</t>
  </si>
  <si>
    <t>total_6.21</t>
  </si>
  <si>
    <t>total_6.31</t>
  </si>
  <si>
    <t>ultra_short_duration_fund</t>
  </si>
  <si>
    <t>total_67.29</t>
  </si>
  <si>
    <t>total_7.44</t>
  </si>
  <si>
    <t>total_70.13</t>
  </si>
  <si>
    <t>total_73.83</t>
  </si>
  <si>
    <t>total_75.34</t>
  </si>
  <si>
    <t>total_76.17</t>
  </si>
  <si>
    <t>total_8.45</t>
  </si>
  <si>
    <t>total_86.40</t>
  </si>
  <si>
    <t>total_9.97</t>
  </si>
  <si>
    <t>total_90.03</t>
  </si>
  <si>
    <t>total_93.66</t>
  </si>
  <si>
    <t>total_93.78</t>
  </si>
  <si>
    <t>total_95.50</t>
  </si>
  <si>
    <t>total_97.13</t>
  </si>
  <si>
    <t>total_97.30</t>
  </si>
  <si>
    <t>total_97.37</t>
  </si>
  <si>
    <t>total_97.92</t>
  </si>
  <si>
    <t>treasury_bill</t>
  </si>
  <si>
    <t>who_are_seeking*:</t>
  </si>
  <si>
    <t>who_should_invest</t>
  </si>
  <si>
    <t>Present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</si>
</sst>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1" fillId="0" borderId="0" xfId="0" applyFont="1" applyBorder="1" applyAlignment="1">
      <alignment horizontal="center" vertical="top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12"/>
  <sheetViews>
    <sheetView tabSelected="1" workbookViewId="0">
      <selection activeCell="E3" sqref="E3"/>
    </sheetView>
  </sheetViews>
  <sheetFormatPr defaultRowHeight="15" x14ac:dyDescent="0.25"/>
  <cols>
    <col min="2" max="2" width="33.85546875" customWidth="1"/>
    <col min="3" max="3" width="23.42578125" customWidth="1"/>
    <col min="4" max="4" width="22.85546875" customWidth="1"/>
    <col min="5" max="5" width="36.140625" customWidth="1"/>
    <col min="6" max="6" width="36" customWidth="1"/>
    <col min="7" max="7" width="23.5703125" customWidth="1"/>
    <col min="8" max="11" width="9" customWidth="1"/>
  </cols>
  <sheetData>
    <row r="1" spans="1:32" x14ac:dyDescent="0.25">
      <c r="A1" s="2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</row>
    <row r="2" spans="1:32" x14ac:dyDescent="0.25">
      <c r="A2" t="s">
        <v>738</v>
      </c>
      <c r="B2" s="3" cm="1">
        <f t="array" ref="B2">CountColoredCells(B3:B200,A1)</f>
        <v>16</v>
      </c>
      <c r="C2" s="3" cm="1">
        <f t="array" ref="C2">CountColoredCells(C3:C200,A1)</f>
        <v>8</v>
      </c>
      <c r="D2" s="3" cm="1">
        <f t="array" ref="D2">CountColoredCells(D3:D200,A1)</f>
        <v>7</v>
      </c>
      <c r="E2" s="3" cm="1">
        <f t="array" ref="E2">CountColoredCells(E3:E200,A1)</f>
        <v>13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x14ac:dyDescent="0.25">
      <c r="B3" s="2" t="s">
        <v>31</v>
      </c>
      <c r="C3" t="s">
        <v>32</v>
      </c>
      <c r="D3" s="2" t="s">
        <v>31</v>
      </c>
      <c r="E3" t="s">
        <v>33</v>
      </c>
      <c r="F3" t="s">
        <v>34</v>
      </c>
      <c r="G3" t="s">
        <v>35</v>
      </c>
      <c r="H3" t="s">
        <v>36</v>
      </c>
      <c r="I3" t="s">
        <v>37</v>
      </c>
      <c r="J3" t="s">
        <v>38</v>
      </c>
      <c r="K3" t="s">
        <v>39</v>
      </c>
      <c r="L3" t="s">
        <v>40</v>
      </c>
      <c r="M3" t="s">
        <v>41</v>
      </c>
      <c r="N3" t="s">
        <v>41</v>
      </c>
      <c r="O3" t="s">
        <v>42</v>
      </c>
      <c r="Q3" t="s">
        <v>43</v>
      </c>
      <c r="S3" t="s">
        <v>44</v>
      </c>
      <c r="T3" t="s">
        <v>31</v>
      </c>
      <c r="U3" t="s">
        <v>45</v>
      </c>
      <c r="V3" t="s">
        <v>46</v>
      </c>
      <c r="W3" t="s">
        <v>31</v>
      </c>
      <c r="X3" t="s">
        <v>47</v>
      </c>
      <c r="Y3" t="s">
        <v>48</v>
      </c>
      <c r="Z3" t="s">
        <v>49</v>
      </c>
      <c r="AA3" t="s">
        <v>31</v>
      </c>
      <c r="AB3" t="s">
        <v>44</v>
      </c>
      <c r="AC3" t="s">
        <v>50</v>
      </c>
      <c r="AD3" t="s">
        <v>31</v>
      </c>
      <c r="AE3" t="s">
        <v>34</v>
      </c>
      <c r="AF3" t="s">
        <v>51</v>
      </c>
    </row>
    <row r="4" spans="1:32" x14ac:dyDescent="0.25">
      <c r="B4" s="2" t="s">
        <v>52</v>
      </c>
      <c r="C4" t="s">
        <v>53</v>
      </c>
      <c r="D4" t="s">
        <v>43</v>
      </c>
      <c r="E4" t="s">
        <v>54</v>
      </c>
      <c r="F4" t="s">
        <v>55</v>
      </c>
      <c r="G4" t="s">
        <v>56</v>
      </c>
      <c r="H4" t="s">
        <v>57</v>
      </c>
      <c r="I4" t="s">
        <v>58</v>
      </c>
      <c r="J4" t="s">
        <v>59</v>
      </c>
      <c r="K4" t="s">
        <v>36</v>
      </c>
      <c r="L4" t="s">
        <v>31</v>
      </c>
      <c r="M4" t="s">
        <v>60</v>
      </c>
      <c r="N4" t="s">
        <v>61</v>
      </c>
      <c r="O4" t="s">
        <v>31</v>
      </c>
      <c r="P4" t="s">
        <v>41</v>
      </c>
      <c r="Q4" t="s">
        <v>62</v>
      </c>
      <c r="R4" t="s">
        <v>38</v>
      </c>
      <c r="S4" t="s">
        <v>63</v>
      </c>
      <c r="T4" t="s">
        <v>64</v>
      </c>
      <c r="U4" t="s">
        <v>65</v>
      </c>
      <c r="V4" t="s">
        <v>39</v>
      </c>
      <c r="W4" t="s">
        <v>63</v>
      </c>
      <c r="X4" t="s">
        <v>36</v>
      </c>
      <c r="Y4" t="s">
        <v>66</v>
      </c>
      <c r="Z4" t="s">
        <v>31</v>
      </c>
      <c r="AA4" t="s">
        <v>63</v>
      </c>
      <c r="AB4" t="s">
        <v>62</v>
      </c>
      <c r="AC4" t="s">
        <v>67</v>
      </c>
      <c r="AD4" t="s">
        <v>63</v>
      </c>
      <c r="AE4" t="s">
        <v>31</v>
      </c>
      <c r="AF4" t="s">
        <v>68</v>
      </c>
    </row>
    <row r="5" spans="1:32" x14ac:dyDescent="0.25">
      <c r="B5" s="2" t="s">
        <v>64</v>
      </c>
      <c r="C5" t="s">
        <v>69</v>
      </c>
      <c r="D5" t="s">
        <v>70</v>
      </c>
      <c r="E5" t="s">
        <v>71</v>
      </c>
      <c r="F5" t="s">
        <v>72</v>
      </c>
      <c r="G5" t="s">
        <v>73</v>
      </c>
      <c r="H5" t="s">
        <v>43</v>
      </c>
      <c r="I5" t="s">
        <v>44</v>
      </c>
      <c r="J5" t="s">
        <v>74</v>
      </c>
      <c r="K5" t="s">
        <v>31</v>
      </c>
      <c r="L5" t="s">
        <v>62</v>
      </c>
      <c r="M5" t="s">
        <v>75</v>
      </c>
      <c r="N5" t="s">
        <v>31</v>
      </c>
      <c r="O5" t="s">
        <v>76</v>
      </c>
      <c r="P5" t="s">
        <v>39</v>
      </c>
      <c r="Q5" t="s">
        <v>77</v>
      </c>
      <c r="R5" t="s">
        <v>51</v>
      </c>
      <c r="S5" t="s">
        <v>77</v>
      </c>
      <c r="T5" t="s">
        <v>78</v>
      </c>
      <c r="U5" t="s">
        <v>61</v>
      </c>
      <c r="V5" t="s">
        <v>44</v>
      </c>
      <c r="W5" t="s">
        <v>79</v>
      </c>
      <c r="X5" t="s">
        <v>31</v>
      </c>
      <c r="Y5" t="s">
        <v>80</v>
      </c>
      <c r="Z5" t="s">
        <v>43</v>
      </c>
      <c r="AA5" t="s">
        <v>77</v>
      </c>
      <c r="AB5" t="s">
        <v>81</v>
      </c>
      <c r="AC5" t="s">
        <v>43</v>
      </c>
      <c r="AD5" t="s">
        <v>82</v>
      </c>
      <c r="AE5" t="s">
        <v>63</v>
      </c>
      <c r="AF5" t="s">
        <v>31</v>
      </c>
    </row>
    <row r="6" spans="1:32" x14ac:dyDescent="0.25">
      <c r="B6" t="s">
        <v>83</v>
      </c>
      <c r="C6" t="s">
        <v>84</v>
      </c>
      <c r="D6" t="s">
        <v>85</v>
      </c>
      <c r="E6" t="s">
        <v>86</v>
      </c>
      <c r="F6" t="s">
        <v>87</v>
      </c>
      <c r="G6" t="s">
        <v>88</v>
      </c>
      <c r="H6" t="s">
        <v>62</v>
      </c>
      <c r="I6" t="s">
        <v>43</v>
      </c>
      <c r="J6" t="s">
        <v>89</v>
      </c>
      <c r="K6" t="s">
        <v>44</v>
      </c>
      <c r="L6" t="s">
        <v>90</v>
      </c>
      <c r="M6" t="s">
        <v>57</v>
      </c>
      <c r="N6" t="s">
        <v>91</v>
      </c>
      <c r="O6" t="s">
        <v>92</v>
      </c>
      <c r="P6" t="s">
        <v>51</v>
      </c>
      <c r="Q6" t="s">
        <v>81</v>
      </c>
      <c r="R6" t="s">
        <v>65</v>
      </c>
      <c r="S6" t="s">
        <v>93</v>
      </c>
      <c r="T6" t="s">
        <v>94</v>
      </c>
      <c r="U6" t="s">
        <v>31</v>
      </c>
      <c r="V6" t="s">
        <v>43</v>
      </c>
      <c r="W6" t="s">
        <v>95</v>
      </c>
      <c r="X6" t="s">
        <v>87</v>
      </c>
      <c r="Y6" t="s">
        <v>96</v>
      </c>
      <c r="Z6" t="s">
        <v>63</v>
      </c>
      <c r="AA6" t="s">
        <v>81</v>
      </c>
      <c r="AB6" t="s">
        <v>83</v>
      </c>
      <c r="AC6" t="s">
        <v>63</v>
      </c>
      <c r="AD6" t="s">
        <v>97</v>
      </c>
      <c r="AE6" t="s">
        <v>93</v>
      </c>
      <c r="AF6" t="s">
        <v>44</v>
      </c>
    </row>
    <row r="7" spans="1:32" x14ac:dyDescent="0.25">
      <c r="B7" t="s">
        <v>98</v>
      </c>
      <c r="C7" t="s">
        <v>99</v>
      </c>
      <c r="D7" t="s">
        <v>100</v>
      </c>
      <c r="E7" t="s">
        <v>101</v>
      </c>
      <c r="F7" t="s">
        <v>102</v>
      </c>
      <c r="G7" t="s">
        <v>103</v>
      </c>
      <c r="H7" t="s">
        <v>104</v>
      </c>
      <c r="I7" t="s">
        <v>63</v>
      </c>
      <c r="J7" t="s">
        <v>105</v>
      </c>
      <c r="K7" t="s">
        <v>63</v>
      </c>
      <c r="L7" t="s">
        <v>94</v>
      </c>
      <c r="M7" t="s">
        <v>31</v>
      </c>
      <c r="N7" t="s">
        <v>43</v>
      </c>
      <c r="O7" t="s">
        <v>106</v>
      </c>
      <c r="P7" t="s">
        <v>107</v>
      </c>
      <c r="Q7" t="s">
        <v>64</v>
      </c>
      <c r="R7" t="s">
        <v>44</v>
      </c>
      <c r="S7" t="s">
        <v>64</v>
      </c>
      <c r="T7" t="s">
        <v>108</v>
      </c>
      <c r="U7" t="s">
        <v>44</v>
      </c>
      <c r="V7" t="s">
        <v>63</v>
      </c>
      <c r="W7" t="s">
        <v>76</v>
      </c>
      <c r="X7" t="s">
        <v>62</v>
      </c>
      <c r="Y7" t="s">
        <v>109</v>
      </c>
      <c r="Z7" t="s">
        <v>110</v>
      </c>
      <c r="AA7" t="s">
        <v>90</v>
      </c>
      <c r="AB7" t="s">
        <v>106</v>
      </c>
      <c r="AC7" t="s">
        <v>81</v>
      </c>
      <c r="AD7" t="s">
        <v>64</v>
      </c>
      <c r="AE7" t="s">
        <v>83</v>
      </c>
      <c r="AF7" t="s">
        <v>43</v>
      </c>
    </row>
    <row r="8" spans="1:32" x14ac:dyDescent="0.25">
      <c r="B8" t="s">
        <v>111</v>
      </c>
      <c r="C8" t="s">
        <v>112</v>
      </c>
      <c r="D8" t="s">
        <v>113</v>
      </c>
      <c r="E8" t="s">
        <v>114</v>
      </c>
      <c r="F8" t="s">
        <v>115</v>
      </c>
      <c r="G8" t="s">
        <v>116</v>
      </c>
      <c r="H8" t="s">
        <v>81</v>
      </c>
      <c r="I8" t="s">
        <v>117</v>
      </c>
      <c r="J8" t="s">
        <v>118</v>
      </c>
      <c r="K8" t="s">
        <v>77</v>
      </c>
      <c r="L8" t="s">
        <v>119</v>
      </c>
      <c r="M8" t="s">
        <v>44</v>
      </c>
      <c r="N8" t="s">
        <v>62</v>
      </c>
      <c r="O8" t="s">
        <v>120</v>
      </c>
      <c r="P8" t="s">
        <v>31</v>
      </c>
      <c r="Q8" t="s">
        <v>83</v>
      </c>
      <c r="R8" t="s">
        <v>43</v>
      </c>
      <c r="S8" t="s">
        <v>121</v>
      </c>
      <c r="T8" t="s">
        <v>122</v>
      </c>
      <c r="U8" t="s">
        <v>91</v>
      </c>
      <c r="V8" t="s">
        <v>77</v>
      </c>
      <c r="W8" t="s">
        <v>106</v>
      </c>
      <c r="X8" t="s">
        <v>64</v>
      </c>
      <c r="Y8" t="s">
        <v>123</v>
      </c>
      <c r="Z8" t="s">
        <v>81</v>
      </c>
      <c r="AA8" t="s">
        <v>124</v>
      </c>
      <c r="AB8" t="s">
        <v>125</v>
      </c>
      <c r="AC8" t="s">
        <v>126</v>
      </c>
      <c r="AD8" t="s">
        <v>121</v>
      </c>
      <c r="AE8" t="s">
        <v>90</v>
      </c>
      <c r="AF8" t="s">
        <v>62</v>
      </c>
    </row>
    <row r="9" spans="1:32" x14ac:dyDescent="0.25">
      <c r="B9" t="s">
        <v>90</v>
      </c>
      <c r="C9" t="s">
        <v>127</v>
      </c>
      <c r="D9" t="s">
        <v>128</v>
      </c>
      <c r="E9" t="s">
        <v>129</v>
      </c>
      <c r="F9" t="s">
        <v>130</v>
      </c>
      <c r="G9" t="s">
        <v>131</v>
      </c>
      <c r="H9" t="s">
        <v>95</v>
      </c>
      <c r="I9" t="s">
        <v>132</v>
      </c>
      <c r="J9" t="s">
        <v>39</v>
      </c>
      <c r="K9" t="s">
        <v>133</v>
      </c>
      <c r="L9" t="s">
        <v>95</v>
      </c>
      <c r="M9" t="s">
        <v>63</v>
      </c>
      <c r="N9" t="s">
        <v>77</v>
      </c>
      <c r="O9" t="s">
        <v>134</v>
      </c>
      <c r="P9" t="s">
        <v>135</v>
      </c>
      <c r="Q9" t="s">
        <v>98</v>
      </c>
      <c r="R9" t="s">
        <v>62</v>
      </c>
      <c r="S9" t="s">
        <v>136</v>
      </c>
      <c r="T9" t="s">
        <v>106</v>
      </c>
      <c r="U9" t="s">
        <v>137</v>
      </c>
      <c r="V9" t="s">
        <v>82</v>
      </c>
      <c r="W9" t="s">
        <v>138</v>
      </c>
      <c r="X9" t="s">
        <v>83</v>
      </c>
      <c r="Y9" t="s">
        <v>139</v>
      </c>
      <c r="Z9" t="s">
        <v>64</v>
      </c>
      <c r="AA9" t="s">
        <v>140</v>
      </c>
      <c r="AB9" t="s">
        <v>141</v>
      </c>
      <c r="AC9" t="s">
        <v>142</v>
      </c>
      <c r="AD9" t="s">
        <v>143</v>
      </c>
      <c r="AE9" t="s">
        <v>95</v>
      </c>
      <c r="AF9" t="s">
        <v>144</v>
      </c>
    </row>
    <row r="10" spans="1:32" x14ac:dyDescent="0.25">
      <c r="B10" t="s">
        <v>145</v>
      </c>
      <c r="C10" t="s">
        <v>146</v>
      </c>
      <c r="D10" s="2" t="s">
        <v>63</v>
      </c>
      <c r="E10" t="s">
        <v>147</v>
      </c>
      <c r="F10" t="s">
        <v>148</v>
      </c>
      <c r="G10" t="s">
        <v>149</v>
      </c>
      <c r="H10" t="s">
        <v>76</v>
      </c>
      <c r="I10" t="s">
        <v>150</v>
      </c>
      <c r="J10" t="s">
        <v>31</v>
      </c>
      <c r="K10" t="s">
        <v>81</v>
      </c>
      <c r="L10" t="s">
        <v>151</v>
      </c>
      <c r="M10" t="s">
        <v>77</v>
      </c>
      <c r="N10" t="s">
        <v>152</v>
      </c>
      <c r="O10" t="s">
        <v>153</v>
      </c>
      <c r="P10" t="s">
        <v>44</v>
      </c>
      <c r="Q10" t="s">
        <v>95</v>
      </c>
      <c r="R10" t="s">
        <v>76</v>
      </c>
      <c r="S10" t="s">
        <v>94</v>
      </c>
      <c r="T10" t="s">
        <v>154</v>
      </c>
      <c r="U10" t="s">
        <v>63</v>
      </c>
      <c r="V10" t="s">
        <v>81</v>
      </c>
      <c r="W10" t="s">
        <v>155</v>
      </c>
      <c r="X10" t="s">
        <v>98</v>
      </c>
      <c r="Y10" t="s">
        <v>46</v>
      </c>
      <c r="Z10" t="s">
        <v>121</v>
      </c>
      <c r="AA10" t="s">
        <v>156</v>
      </c>
      <c r="AB10" t="s">
        <v>157</v>
      </c>
      <c r="AC10" t="s">
        <v>158</v>
      </c>
      <c r="AD10" t="s">
        <v>159</v>
      </c>
      <c r="AE10" t="s">
        <v>76</v>
      </c>
      <c r="AF10" t="s">
        <v>64</v>
      </c>
    </row>
    <row r="11" spans="1:32" x14ac:dyDescent="0.25">
      <c r="B11" t="s">
        <v>160</v>
      </c>
      <c r="C11" t="s">
        <v>161</v>
      </c>
      <c r="D11" t="s">
        <v>162</v>
      </c>
      <c r="E11" s="2" t="s">
        <v>44</v>
      </c>
      <c r="F11" t="s">
        <v>163</v>
      </c>
      <c r="G11" t="s">
        <v>44</v>
      </c>
      <c r="H11" t="s">
        <v>92</v>
      </c>
      <c r="I11" t="s">
        <v>164</v>
      </c>
      <c r="J11" t="s">
        <v>63</v>
      </c>
      <c r="K11" t="s">
        <v>165</v>
      </c>
      <c r="L11" t="s">
        <v>76</v>
      </c>
      <c r="M11" t="s">
        <v>166</v>
      </c>
      <c r="N11" t="s">
        <v>167</v>
      </c>
      <c r="O11" t="s">
        <v>168</v>
      </c>
      <c r="P11" t="s">
        <v>43</v>
      </c>
      <c r="Q11" t="s">
        <v>76</v>
      </c>
      <c r="R11" t="s">
        <v>92</v>
      </c>
      <c r="S11" t="s">
        <v>119</v>
      </c>
      <c r="T11" t="s">
        <v>155</v>
      </c>
      <c r="U11" t="s">
        <v>77</v>
      </c>
      <c r="V11" t="s">
        <v>83</v>
      </c>
      <c r="W11" t="s">
        <v>169</v>
      </c>
      <c r="X11" t="s">
        <v>95</v>
      </c>
      <c r="Y11" t="s">
        <v>170</v>
      </c>
      <c r="Z11" t="s">
        <v>83</v>
      </c>
      <c r="AA11" t="s">
        <v>171</v>
      </c>
      <c r="AB11" t="s">
        <v>172</v>
      </c>
      <c r="AC11" t="s">
        <v>155</v>
      </c>
      <c r="AD11" t="s">
        <v>95</v>
      </c>
      <c r="AE11" t="s">
        <v>173</v>
      </c>
      <c r="AF11" t="s">
        <v>76</v>
      </c>
    </row>
    <row r="12" spans="1:32" x14ac:dyDescent="0.25">
      <c r="B12" t="s">
        <v>174</v>
      </c>
      <c r="C12" s="2" t="s">
        <v>31</v>
      </c>
      <c r="D12" t="s">
        <v>175</v>
      </c>
      <c r="E12" t="s">
        <v>176</v>
      </c>
      <c r="F12" t="s">
        <v>81</v>
      </c>
      <c r="G12" s="2" t="s">
        <v>63</v>
      </c>
      <c r="H12" t="s">
        <v>106</v>
      </c>
      <c r="I12" t="s">
        <v>177</v>
      </c>
      <c r="J12" t="s">
        <v>178</v>
      </c>
      <c r="K12" t="s">
        <v>95</v>
      </c>
      <c r="L12" t="s">
        <v>179</v>
      </c>
      <c r="M12" t="s">
        <v>81</v>
      </c>
      <c r="N12" t="s">
        <v>95</v>
      </c>
      <c r="O12" t="s">
        <v>180</v>
      </c>
      <c r="P12" t="s">
        <v>63</v>
      </c>
      <c r="Q12" t="s">
        <v>122</v>
      </c>
      <c r="R12" t="s">
        <v>181</v>
      </c>
      <c r="S12" t="s">
        <v>182</v>
      </c>
      <c r="T12" t="s">
        <v>183</v>
      </c>
      <c r="U12" t="s">
        <v>184</v>
      </c>
      <c r="V12" t="s">
        <v>98</v>
      </c>
      <c r="W12" t="s">
        <v>185</v>
      </c>
      <c r="X12" t="s">
        <v>76</v>
      </c>
      <c r="Y12" t="s">
        <v>43</v>
      </c>
      <c r="Z12" t="s">
        <v>98</v>
      </c>
      <c r="AA12" t="s">
        <v>186</v>
      </c>
      <c r="AB12" t="s">
        <v>187</v>
      </c>
      <c r="AC12" t="s">
        <v>141</v>
      </c>
      <c r="AD12" t="s">
        <v>76</v>
      </c>
      <c r="AE12" t="s">
        <v>106</v>
      </c>
      <c r="AF12" t="s">
        <v>92</v>
      </c>
    </row>
    <row r="13" spans="1:32" x14ac:dyDescent="0.25">
      <c r="B13" t="s">
        <v>188</v>
      </c>
      <c r="C13" t="s">
        <v>43</v>
      </c>
      <c r="D13" t="s">
        <v>189</v>
      </c>
      <c r="E13" t="s">
        <v>43</v>
      </c>
      <c r="F13" t="s">
        <v>190</v>
      </c>
      <c r="G13" s="2" t="s">
        <v>77</v>
      </c>
      <c r="H13" t="s">
        <v>157</v>
      </c>
      <c r="I13" t="s">
        <v>191</v>
      </c>
      <c r="J13" t="s">
        <v>192</v>
      </c>
      <c r="K13" t="s">
        <v>193</v>
      </c>
      <c r="L13" t="s">
        <v>106</v>
      </c>
      <c r="M13" t="s">
        <v>194</v>
      </c>
      <c r="N13" t="s">
        <v>76</v>
      </c>
      <c r="O13" t="s">
        <v>195</v>
      </c>
      <c r="P13" t="s">
        <v>77</v>
      </c>
      <c r="Q13" t="s">
        <v>106</v>
      </c>
      <c r="R13" t="s">
        <v>196</v>
      </c>
      <c r="S13" t="s">
        <v>197</v>
      </c>
      <c r="T13" t="s">
        <v>198</v>
      </c>
      <c r="U13" t="s">
        <v>199</v>
      </c>
      <c r="V13" t="s">
        <v>90</v>
      </c>
      <c r="W13" t="s">
        <v>200</v>
      </c>
      <c r="X13" t="s">
        <v>122</v>
      </c>
      <c r="Y13" t="s">
        <v>62</v>
      </c>
      <c r="Z13" t="s">
        <v>92</v>
      </c>
      <c r="AA13" t="s">
        <v>201</v>
      </c>
      <c r="AB13" t="s">
        <v>202</v>
      </c>
      <c r="AC13" t="s">
        <v>203</v>
      </c>
      <c r="AD13" t="s">
        <v>122</v>
      </c>
      <c r="AE13" t="s">
        <v>204</v>
      </c>
      <c r="AF13" t="s">
        <v>122</v>
      </c>
    </row>
    <row r="14" spans="1:32" x14ac:dyDescent="0.25">
      <c r="B14" s="2" t="s">
        <v>122</v>
      </c>
      <c r="C14" s="2" t="s">
        <v>63</v>
      </c>
      <c r="D14" s="2" t="s">
        <v>81</v>
      </c>
      <c r="E14" s="2" t="s">
        <v>63</v>
      </c>
      <c r="F14" t="s">
        <v>205</v>
      </c>
      <c r="G14" t="s">
        <v>206</v>
      </c>
      <c r="H14" t="s">
        <v>207</v>
      </c>
      <c r="I14" t="s">
        <v>208</v>
      </c>
      <c r="J14" t="s">
        <v>209</v>
      </c>
      <c r="K14" t="s">
        <v>210</v>
      </c>
      <c r="L14" t="s">
        <v>138</v>
      </c>
      <c r="M14" t="s">
        <v>211</v>
      </c>
      <c r="N14" t="s">
        <v>212</v>
      </c>
      <c r="O14" t="s">
        <v>213</v>
      </c>
      <c r="P14" t="s">
        <v>83</v>
      </c>
      <c r="Q14" t="s">
        <v>155</v>
      </c>
      <c r="R14" t="s">
        <v>214</v>
      </c>
      <c r="S14" t="s">
        <v>122</v>
      </c>
      <c r="T14" t="s">
        <v>215</v>
      </c>
      <c r="U14" t="s">
        <v>216</v>
      </c>
      <c r="V14" t="s">
        <v>95</v>
      </c>
      <c r="W14" t="s">
        <v>217</v>
      </c>
      <c r="X14" t="s">
        <v>106</v>
      </c>
      <c r="Y14" t="s">
        <v>77</v>
      </c>
      <c r="Z14" t="s">
        <v>122</v>
      </c>
      <c r="AA14" t="s">
        <v>95</v>
      </c>
      <c r="AB14" t="s">
        <v>218</v>
      </c>
      <c r="AD14" t="s">
        <v>106</v>
      </c>
      <c r="AE14" t="s">
        <v>138</v>
      </c>
      <c r="AF14" t="s">
        <v>106</v>
      </c>
    </row>
    <row r="15" spans="1:32" x14ac:dyDescent="0.25">
      <c r="B15" t="s">
        <v>219</v>
      </c>
      <c r="C15" t="s">
        <v>133</v>
      </c>
      <c r="D15" t="s">
        <v>83</v>
      </c>
      <c r="E15" s="2" t="s">
        <v>77</v>
      </c>
      <c r="F15" t="s">
        <v>220</v>
      </c>
      <c r="G15" s="2" t="s">
        <v>81</v>
      </c>
      <c r="H15" t="s">
        <v>172</v>
      </c>
      <c r="I15" t="s">
        <v>221</v>
      </c>
      <c r="J15" t="s">
        <v>222</v>
      </c>
      <c r="K15" t="s">
        <v>76</v>
      </c>
      <c r="L15" t="s">
        <v>155</v>
      </c>
      <c r="M15" t="s">
        <v>64</v>
      </c>
      <c r="N15" t="s">
        <v>223</v>
      </c>
      <c r="O15" t="s">
        <v>224</v>
      </c>
      <c r="P15" t="s">
        <v>98</v>
      </c>
      <c r="Q15" t="s">
        <v>225</v>
      </c>
      <c r="R15" t="s">
        <v>157</v>
      </c>
      <c r="S15" t="s">
        <v>106</v>
      </c>
      <c r="T15" t="s">
        <v>185</v>
      </c>
      <c r="U15" t="s">
        <v>226</v>
      </c>
      <c r="V15" t="s">
        <v>76</v>
      </c>
      <c r="W15" t="s">
        <v>203</v>
      </c>
      <c r="X15" t="s">
        <v>138</v>
      </c>
      <c r="Y15" t="s">
        <v>93</v>
      </c>
      <c r="Z15" t="s">
        <v>106</v>
      </c>
      <c r="AA15" t="s">
        <v>76</v>
      </c>
      <c r="AB15" t="s">
        <v>185</v>
      </c>
      <c r="AD15" t="s">
        <v>227</v>
      </c>
      <c r="AE15" t="s">
        <v>228</v>
      </c>
      <c r="AF15" t="s">
        <v>155</v>
      </c>
    </row>
    <row r="16" spans="1:32" x14ac:dyDescent="0.25">
      <c r="B16" t="s">
        <v>229</v>
      </c>
      <c r="C16" t="s">
        <v>230</v>
      </c>
      <c r="D16" t="s">
        <v>98</v>
      </c>
      <c r="E16" t="s">
        <v>93</v>
      </c>
      <c r="F16" t="s">
        <v>231</v>
      </c>
      <c r="G16" t="s">
        <v>64</v>
      </c>
      <c r="H16" t="s">
        <v>232</v>
      </c>
      <c r="I16" t="s">
        <v>138</v>
      </c>
      <c r="J16" t="s">
        <v>233</v>
      </c>
      <c r="K16" t="s">
        <v>92</v>
      </c>
      <c r="L16" t="s">
        <v>234</v>
      </c>
      <c r="M16" t="s">
        <v>121</v>
      </c>
      <c r="N16" t="s">
        <v>106</v>
      </c>
      <c r="O16" t="s">
        <v>235</v>
      </c>
      <c r="P16" t="s">
        <v>90</v>
      </c>
      <c r="Q16" t="s">
        <v>141</v>
      </c>
      <c r="R16" t="s">
        <v>236</v>
      </c>
      <c r="S16" t="s">
        <v>237</v>
      </c>
      <c r="T16" t="s">
        <v>238</v>
      </c>
      <c r="U16" t="s">
        <v>239</v>
      </c>
      <c r="V16" t="s">
        <v>106</v>
      </c>
      <c r="W16" t="s">
        <v>240</v>
      </c>
      <c r="X16" t="s">
        <v>155</v>
      </c>
      <c r="Y16" t="s">
        <v>83</v>
      </c>
      <c r="Z16" t="s">
        <v>155</v>
      </c>
      <c r="AA16" t="s">
        <v>106</v>
      </c>
      <c r="AB16" t="s">
        <v>241</v>
      </c>
      <c r="AD16" t="s">
        <v>242</v>
      </c>
      <c r="AE16" t="s">
        <v>172</v>
      </c>
      <c r="AF16" t="s">
        <v>243</v>
      </c>
    </row>
    <row r="17" spans="2:32" x14ac:dyDescent="0.25">
      <c r="B17" s="2" t="s">
        <v>106</v>
      </c>
      <c r="C17" t="s">
        <v>244</v>
      </c>
      <c r="D17" t="s">
        <v>245</v>
      </c>
      <c r="E17" t="s">
        <v>246</v>
      </c>
      <c r="F17" t="s">
        <v>247</v>
      </c>
      <c r="G17" t="s">
        <v>248</v>
      </c>
      <c r="H17" t="s">
        <v>218</v>
      </c>
      <c r="I17" t="s">
        <v>249</v>
      </c>
      <c r="J17" t="s">
        <v>144</v>
      </c>
      <c r="K17" t="s">
        <v>250</v>
      </c>
      <c r="L17" t="s">
        <v>172</v>
      </c>
      <c r="M17" t="s">
        <v>160</v>
      </c>
      <c r="N17" t="s">
        <v>138</v>
      </c>
      <c r="O17" t="s">
        <v>251</v>
      </c>
      <c r="P17" t="s">
        <v>95</v>
      </c>
      <c r="Q17" t="s">
        <v>183</v>
      </c>
      <c r="R17" t="s">
        <v>172</v>
      </c>
      <c r="S17" t="s">
        <v>138</v>
      </c>
      <c r="T17" t="s">
        <v>252</v>
      </c>
      <c r="U17" t="s">
        <v>144</v>
      </c>
      <c r="V17" t="s">
        <v>155</v>
      </c>
      <c r="X17" t="s">
        <v>157</v>
      </c>
      <c r="Y17" t="s">
        <v>98</v>
      </c>
      <c r="Z17" t="s">
        <v>253</v>
      </c>
      <c r="AA17" t="s">
        <v>155</v>
      </c>
      <c r="AB17" t="s">
        <v>203</v>
      </c>
      <c r="AD17" t="s">
        <v>155</v>
      </c>
      <c r="AE17" t="s">
        <v>254</v>
      </c>
      <c r="AF17" t="s">
        <v>255</v>
      </c>
    </row>
    <row r="18" spans="2:32" x14ac:dyDescent="0.25">
      <c r="B18" s="4" t="s">
        <v>155</v>
      </c>
      <c r="C18" t="s">
        <v>256</v>
      </c>
      <c r="D18" s="2" t="s">
        <v>95</v>
      </c>
      <c r="E18" t="s">
        <v>121</v>
      </c>
      <c r="F18" t="s">
        <v>257</v>
      </c>
      <c r="G18" t="s">
        <v>258</v>
      </c>
      <c r="H18" t="s">
        <v>259</v>
      </c>
      <c r="I18" t="s">
        <v>260</v>
      </c>
      <c r="J18" t="s">
        <v>64</v>
      </c>
      <c r="K18" t="s">
        <v>261</v>
      </c>
      <c r="L18" t="s">
        <v>262</v>
      </c>
      <c r="M18" t="s">
        <v>263</v>
      </c>
      <c r="N18" t="s">
        <v>264</v>
      </c>
      <c r="O18" t="s">
        <v>265</v>
      </c>
      <c r="P18" t="s">
        <v>76</v>
      </c>
      <c r="Q18" t="s">
        <v>172</v>
      </c>
      <c r="R18" t="s">
        <v>218</v>
      </c>
      <c r="S18" t="s">
        <v>155</v>
      </c>
      <c r="T18" t="s">
        <v>266</v>
      </c>
      <c r="U18" t="s">
        <v>267</v>
      </c>
      <c r="V18" t="s">
        <v>157</v>
      </c>
      <c r="X18" t="s">
        <v>183</v>
      </c>
      <c r="Y18" t="s">
        <v>76</v>
      </c>
      <c r="Z18" t="s">
        <v>228</v>
      </c>
      <c r="AA18" t="s">
        <v>228</v>
      </c>
      <c r="AB18" t="s">
        <v>268</v>
      </c>
      <c r="AD18" t="s">
        <v>228</v>
      </c>
      <c r="AE18" t="s">
        <v>198</v>
      </c>
      <c r="AF18" t="s">
        <v>157</v>
      </c>
    </row>
    <row r="19" spans="2:32" x14ac:dyDescent="0.25">
      <c r="B19" s="2" t="s">
        <v>183</v>
      </c>
      <c r="C19" s="2" t="s">
        <v>81</v>
      </c>
      <c r="D19" s="2" t="s">
        <v>76</v>
      </c>
      <c r="E19" t="s">
        <v>269</v>
      </c>
      <c r="F19" t="s">
        <v>270</v>
      </c>
      <c r="G19" t="s">
        <v>271</v>
      </c>
      <c r="H19" t="s">
        <v>272</v>
      </c>
      <c r="I19" t="s">
        <v>273</v>
      </c>
      <c r="J19" t="s">
        <v>90</v>
      </c>
      <c r="K19" t="s">
        <v>274</v>
      </c>
      <c r="L19" t="s">
        <v>254</v>
      </c>
      <c r="M19" t="s">
        <v>275</v>
      </c>
      <c r="N19" t="s">
        <v>155</v>
      </c>
      <c r="O19" t="s">
        <v>276</v>
      </c>
      <c r="P19" t="s">
        <v>277</v>
      </c>
      <c r="Q19" t="s">
        <v>278</v>
      </c>
      <c r="R19" t="s">
        <v>185</v>
      </c>
      <c r="S19" t="s">
        <v>279</v>
      </c>
      <c r="T19" t="s">
        <v>203</v>
      </c>
      <c r="U19" t="s">
        <v>81</v>
      </c>
      <c r="V19" t="s">
        <v>280</v>
      </c>
      <c r="X19" t="s">
        <v>172</v>
      </c>
      <c r="Y19" t="s">
        <v>181</v>
      </c>
      <c r="Z19" t="s">
        <v>183</v>
      </c>
      <c r="AA19" t="s">
        <v>172</v>
      </c>
      <c r="AB19" t="s">
        <v>281</v>
      </c>
      <c r="AD19" t="s">
        <v>282</v>
      </c>
      <c r="AE19" t="s">
        <v>185</v>
      </c>
      <c r="AF19" t="s">
        <v>183</v>
      </c>
    </row>
    <row r="20" spans="2:32" x14ac:dyDescent="0.25">
      <c r="B20" s="2" t="s">
        <v>172</v>
      </c>
      <c r="C20" t="s">
        <v>283</v>
      </c>
      <c r="D20" s="2" t="s">
        <v>106</v>
      </c>
      <c r="E20" s="2" t="s">
        <v>76</v>
      </c>
      <c r="F20" t="s">
        <v>284</v>
      </c>
      <c r="G20" t="s">
        <v>285</v>
      </c>
      <c r="H20" t="s">
        <v>185</v>
      </c>
      <c r="I20" t="s">
        <v>286</v>
      </c>
      <c r="J20" t="s">
        <v>136</v>
      </c>
      <c r="K20" t="s">
        <v>287</v>
      </c>
      <c r="L20" t="s">
        <v>272</v>
      </c>
      <c r="M20" t="s">
        <v>122</v>
      </c>
      <c r="N20" t="s">
        <v>288</v>
      </c>
      <c r="O20" t="s">
        <v>289</v>
      </c>
      <c r="P20" t="s">
        <v>290</v>
      </c>
      <c r="Q20" t="s">
        <v>169</v>
      </c>
      <c r="R20" t="s">
        <v>291</v>
      </c>
      <c r="S20" t="s">
        <v>157</v>
      </c>
      <c r="T20" t="s">
        <v>292</v>
      </c>
      <c r="U20" t="s">
        <v>293</v>
      </c>
      <c r="V20" t="s">
        <v>172</v>
      </c>
      <c r="X20" t="s">
        <v>294</v>
      </c>
      <c r="Y20" t="s">
        <v>295</v>
      </c>
      <c r="Z20" t="s">
        <v>172</v>
      </c>
      <c r="AA20" t="s">
        <v>169</v>
      </c>
      <c r="AB20" t="s">
        <v>296</v>
      </c>
      <c r="AD20" t="s">
        <v>183</v>
      </c>
      <c r="AE20" t="s">
        <v>297</v>
      </c>
      <c r="AF20" t="s">
        <v>172</v>
      </c>
    </row>
    <row r="21" spans="2:32" x14ac:dyDescent="0.25">
      <c r="B21" s="2" t="s">
        <v>198</v>
      </c>
      <c r="C21" t="s">
        <v>298</v>
      </c>
      <c r="D21" t="s">
        <v>155</v>
      </c>
      <c r="E21" s="2" t="s">
        <v>106</v>
      </c>
      <c r="F21" t="s">
        <v>92</v>
      </c>
      <c r="G21" t="s">
        <v>299</v>
      </c>
      <c r="H21" t="s">
        <v>300</v>
      </c>
      <c r="I21" t="s">
        <v>301</v>
      </c>
      <c r="J21" t="s">
        <v>302</v>
      </c>
      <c r="K21" t="s">
        <v>303</v>
      </c>
      <c r="L21" t="s">
        <v>185</v>
      </c>
      <c r="M21" t="s">
        <v>304</v>
      </c>
      <c r="N21" t="s">
        <v>305</v>
      </c>
      <c r="O21" t="s">
        <v>306</v>
      </c>
      <c r="P21" t="s">
        <v>307</v>
      </c>
      <c r="Q21" t="s">
        <v>308</v>
      </c>
      <c r="R21" t="s">
        <v>309</v>
      </c>
      <c r="S21" t="s">
        <v>183</v>
      </c>
      <c r="U21" t="s">
        <v>64</v>
      </c>
      <c r="V21" t="s">
        <v>262</v>
      </c>
      <c r="X21" t="s">
        <v>310</v>
      </c>
      <c r="Y21" t="s">
        <v>138</v>
      </c>
      <c r="Z21" t="s">
        <v>198</v>
      </c>
      <c r="AA21" t="s">
        <v>254</v>
      </c>
      <c r="AD21" t="s">
        <v>236</v>
      </c>
      <c r="AE21" t="s">
        <v>311</v>
      </c>
      <c r="AF21" t="s">
        <v>312</v>
      </c>
    </row>
    <row r="22" spans="2:32" x14ac:dyDescent="0.25">
      <c r="B22" t="s">
        <v>313</v>
      </c>
      <c r="C22" t="s">
        <v>314</v>
      </c>
      <c r="D22" t="s">
        <v>236</v>
      </c>
      <c r="E22" s="2" t="s">
        <v>138</v>
      </c>
      <c r="F22" t="s">
        <v>106</v>
      </c>
      <c r="G22" t="s">
        <v>315</v>
      </c>
      <c r="H22" t="s">
        <v>316</v>
      </c>
      <c r="I22" t="s">
        <v>317</v>
      </c>
      <c r="J22" t="s">
        <v>318</v>
      </c>
      <c r="K22" t="s">
        <v>319</v>
      </c>
      <c r="L22" t="s">
        <v>320</v>
      </c>
      <c r="M22" t="s">
        <v>106</v>
      </c>
      <c r="N22" t="s">
        <v>321</v>
      </c>
      <c r="O22" t="s">
        <v>322</v>
      </c>
      <c r="P22" t="s">
        <v>106</v>
      </c>
      <c r="Q22" t="s">
        <v>323</v>
      </c>
      <c r="R22" t="s">
        <v>324</v>
      </c>
      <c r="S22" t="s">
        <v>172</v>
      </c>
      <c r="U22" t="s">
        <v>121</v>
      </c>
      <c r="V22" t="s">
        <v>218</v>
      </c>
      <c r="X22" t="s">
        <v>218</v>
      </c>
      <c r="Y22" t="s">
        <v>325</v>
      </c>
      <c r="Z22" t="s">
        <v>326</v>
      </c>
      <c r="AA22" t="s">
        <v>198</v>
      </c>
      <c r="AD22" t="s">
        <v>172</v>
      </c>
      <c r="AE22" t="s">
        <v>241</v>
      </c>
      <c r="AF22" t="s">
        <v>254</v>
      </c>
    </row>
    <row r="23" spans="2:32" x14ac:dyDescent="0.25">
      <c r="B23" s="2" t="s">
        <v>215</v>
      </c>
      <c r="C23" t="s">
        <v>327</v>
      </c>
      <c r="D23" s="2" t="s">
        <v>172</v>
      </c>
      <c r="E23" t="s">
        <v>155</v>
      </c>
      <c r="F23" t="s">
        <v>328</v>
      </c>
      <c r="G23" t="s">
        <v>329</v>
      </c>
      <c r="H23" t="s">
        <v>330</v>
      </c>
      <c r="I23" t="s">
        <v>331</v>
      </c>
      <c r="J23" t="s">
        <v>160</v>
      </c>
      <c r="K23" t="s">
        <v>332</v>
      </c>
      <c r="L23" t="s">
        <v>316</v>
      </c>
      <c r="M23" t="s">
        <v>333</v>
      </c>
      <c r="N23" t="s">
        <v>141</v>
      </c>
      <c r="O23" t="s">
        <v>172</v>
      </c>
      <c r="P23" t="s">
        <v>334</v>
      </c>
      <c r="Q23" t="s">
        <v>335</v>
      </c>
      <c r="R23" t="s">
        <v>336</v>
      </c>
      <c r="S23" t="s">
        <v>169</v>
      </c>
      <c r="U23" t="s">
        <v>337</v>
      </c>
      <c r="V23" t="s">
        <v>198</v>
      </c>
      <c r="X23" t="s">
        <v>215</v>
      </c>
      <c r="Y23" t="s">
        <v>338</v>
      </c>
      <c r="Z23" t="s">
        <v>339</v>
      </c>
      <c r="AA23" t="s">
        <v>185</v>
      </c>
      <c r="AD23" t="s">
        <v>262</v>
      </c>
      <c r="AE23" t="s">
        <v>340</v>
      </c>
      <c r="AF23" t="s">
        <v>198</v>
      </c>
    </row>
    <row r="24" spans="2:32" x14ac:dyDescent="0.25">
      <c r="B24" t="s">
        <v>185</v>
      </c>
      <c r="C24" t="s">
        <v>341</v>
      </c>
      <c r="D24" t="s">
        <v>342</v>
      </c>
      <c r="E24" s="2" t="s">
        <v>157</v>
      </c>
      <c r="F24" t="s">
        <v>343</v>
      </c>
      <c r="G24" t="s">
        <v>344</v>
      </c>
      <c r="H24" t="s">
        <v>200</v>
      </c>
      <c r="I24" t="s">
        <v>172</v>
      </c>
      <c r="J24" t="s">
        <v>94</v>
      </c>
      <c r="K24" t="s">
        <v>106</v>
      </c>
      <c r="L24" t="s">
        <v>200</v>
      </c>
      <c r="M24" t="s">
        <v>155</v>
      </c>
      <c r="N24" t="s">
        <v>172</v>
      </c>
      <c r="O24" t="s">
        <v>169</v>
      </c>
      <c r="P24" t="s">
        <v>345</v>
      </c>
      <c r="Q24" t="s">
        <v>215</v>
      </c>
      <c r="R24" t="s">
        <v>346</v>
      </c>
      <c r="S24" t="s">
        <v>218</v>
      </c>
      <c r="U24" t="s">
        <v>347</v>
      </c>
      <c r="V24" t="s">
        <v>185</v>
      </c>
      <c r="X24" t="s">
        <v>185</v>
      </c>
      <c r="Y24" t="s">
        <v>348</v>
      </c>
      <c r="Z24" t="s">
        <v>349</v>
      </c>
      <c r="AA24" t="s">
        <v>350</v>
      </c>
      <c r="AD24" t="s">
        <v>215</v>
      </c>
      <c r="AF24" t="s">
        <v>215</v>
      </c>
    </row>
    <row r="25" spans="2:32" x14ac:dyDescent="0.25">
      <c r="B25" t="s">
        <v>291</v>
      </c>
      <c r="C25" s="2" t="s">
        <v>106</v>
      </c>
      <c r="D25" t="s">
        <v>262</v>
      </c>
      <c r="E25" s="2" t="s">
        <v>172</v>
      </c>
      <c r="F25" t="s">
        <v>155</v>
      </c>
      <c r="G25" t="s">
        <v>351</v>
      </c>
      <c r="H25" t="s">
        <v>352</v>
      </c>
      <c r="I25" t="s">
        <v>218</v>
      </c>
      <c r="J25" t="s">
        <v>353</v>
      </c>
      <c r="K25" t="s">
        <v>354</v>
      </c>
      <c r="L25" t="s">
        <v>355</v>
      </c>
      <c r="M25" t="s">
        <v>356</v>
      </c>
      <c r="N25" t="s">
        <v>357</v>
      </c>
      <c r="O25" t="s">
        <v>358</v>
      </c>
      <c r="P25" t="s">
        <v>359</v>
      </c>
      <c r="Q25" t="s">
        <v>185</v>
      </c>
      <c r="R25" t="s">
        <v>203</v>
      </c>
      <c r="S25" t="s">
        <v>323</v>
      </c>
      <c r="U25" t="s">
        <v>360</v>
      </c>
      <c r="V25" t="s">
        <v>361</v>
      </c>
      <c r="X25" t="s">
        <v>200</v>
      </c>
      <c r="Y25" t="s">
        <v>362</v>
      </c>
      <c r="Z25" t="s">
        <v>363</v>
      </c>
      <c r="AA25" t="s">
        <v>340</v>
      </c>
      <c r="AD25" t="s">
        <v>185</v>
      </c>
      <c r="AF25" t="s">
        <v>185</v>
      </c>
    </row>
    <row r="26" spans="2:32" x14ac:dyDescent="0.25">
      <c r="B26" s="2" t="s">
        <v>330</v>
      </c>
      <c r="C26" t="s">
        <v>155</v>
      </c>
      <c r="D26" t="s">
        <v>185</v>
      </c>
      <c r="E26" t="s">
        <v>232</v>
      </c>
      <c r="F26" t="s">
        <v>364</v>
      </c>
      <c r="G26" t="s">
        <v>365</v>
      </c>
      <c r="H26" t="s">
        <v>366</v>
      </c>
      <c r="I26" t="s">
        <v>367</v>
      </c>
      <c r="J26" t="s">
        <v>368</v>
      </c>
      <c r="K26" t="s">
        <v>369</v>
      </c>
      <c r="L26" t="s">
        <v>340</v>
      </c>
      <c r="M26" t="s">
        <v>322</v>
      </c>
      <c r="N26" t="s">
        <v>370</v>
      </c>
      <c r="O26" t="s">
        <v>185</v>
      </c>
      <c r="P26" t="s">
        <v>371</v>
      </c>
      <c r="Q26" t="s">
        <v>372</v>
      </c>
      <c r="R26" t="s">
        <v>373</v>
      </c>
      <c r="S26" t="s">
        <v>215</v>
      </c>
      <c r="U26" t="s">
        <v>374</v>
      </c>
      <c r="V26" t="s">
        <v>375</v>
      </c>
      <c r="X26" t="s">
        <v>241</v>
      </c>
      <c r="Y26" t="s">
        <v>376</v>
      </c>
      <c r="Z26" t="s">
        <v>377</v>
      </c>
      <c r="AA26" t="s">
        <v>378</v>
      </c>
      <c r="AD26" t="s">
        <v>379</v>
      </c>
      <c r="AF26" t="s">
        <v>324</v>
      </c>
    </row>
    <row r="27" spans="2:32" x14ac:dyDescent="0.25">
      <c r="B27" s="2" t="s">
        <v>380</v>
      </c>
      <c r="C27" t="s">
        <v>381</v>
      </c>
      <c r="D27" t="s">
        <v>382</v>
      </c>
      <c r="E27" s="2" t="s">
        <v>262</v>
      </c>
      <c r="F27" t="s">
        <v>279</v>
      </c>
      <c r="G27" t="s">
        <v>383</v>
      </c>
      <c r="H27" t="s">
        <v>384</v>
      </c>
      <c r="I27" t="s">
        <v>385</v>
      </c>
      <c r="J27" t="s">
        <v>386</v>
      </c>
      <c r="K27" t="s">
        <v>155</v>
      </c>
      <c r="L27" t="s">
        <v>266</v>
      </c>
      <c r="M27" t="s">
        <v>387</v>
      </c>
      <c r="N27" t="s">
        <v>388</v>
      </c>
      <c r="O27" t="s">
        <v>200</v>
      </c>
      <c r="P27" t="s">
        <v>155</v>
      </c>
      <c r="Q27" t="s">
        <v>389</v>
      </c>
      <c r="S27" t="s">
        <v>185</v>
      </c>
      <c r="U27" t="s">
        <v>95</v>
      </c>
      <c r="V27" t="s">
        <v>200</v>
      </c>
      <c r="X27" t="s">
        <v>390</v>
      </c>
      <c r="Y27" t="s">
        <v>236</v>
      </c>
      <c r="Z27" t="s">
        <v>215</v>
      </c>
      <c r="AA27" t="s">
        <v>391</v>
      </c>
      <c r="AD27" t="s">
        <v>392</v>
      </c>
      <c r="AF27" t="s">
        <v>393</v>
      </c>
    </row>
    <row r="28" spans="2:32" x14ac:dyDescent="0.25">
      <c r="B28" t="s">
        <v>241</v>
      </c>
      <c r="C28" s="2" t="s">
        <v>228</v>
      </c>
      <c r="D28" t="s">
        <v>361</v>
      </c>
      <c r="E28" t="s">
        <v>394</v>
      </c>
      <c r="F28" t="s">
        <v>395</v>
      </c>
      <c r="G28" t="s">
        <v>396</v>
      </c>
      <c r="H28" t="s">
        <v>203</v>
      </c>
      <c r="I28" t="s">
        <v>198</v>
      </c>
      <c r="J28" t="s">
        <v>119</v>
      </c>
      <c r="K28" t="s">
        <v>228</v>
      </c>
      <c r="L28" t="s">
        <v>397</v>
      </c>
      <c r="M28" t="s">
        <v>228</v>
      </c>
      <c r="N28" t="s">
        <v>185</v>
      </c>
      <c r="P28" t="s">
        <v>228</v>
      </c>
      <c r="Q28" t="s">
        <v>398</v>
      </c>
      <c r="S28" t="s">
        <v>200</v>
      </c>
      <c r="U28" t="s">
        <v>399</v>
      </c>
      <c r="V28" t="s">
        <v>241</v>
      </c>
      <c r="X28" t="s">
        <v>366</v>
      </c>
      <c r="Y28" t="s">
        <v>172</v>
      </c>
      <c r="Z28" t="s">
        <v>185</v>
      </c>
      <c r="AA28" t="s">
        <v>400</v>
      </c>
      <c r="AD28" t="s">
        <v>401</v>
      </c>
      <c r="AF28" t="s">
        <v>200</v>
      </c>
    </row>
    <row r="29" spans="2:32" x14ac:dyDescent="0.25">
      <c r="B29" t="s">
        <v>402</v>
      </c>
      <c r="C29" s="2" t="s">
        <v>403</v>
      </c>
      <c r="D29" t="s">
        <v>375</v>
      </c>
      <c r="E29" s="2" t="s">
        <v>218</v>
      </c>
      <c r="F29" t="s">
        <v>404</v>
      </c>
      <c r="G29" t="s">
        <v>405</v>
      </c>
      <c r="H29" t="s">
        <v>406</v>
      </c>
      <c r="I29" t="s">
        <v>185</v>
      </c>
      <c r="J29" t="s">
        <v>407</v>
      </c>
      <c r="K29" t="s">
        <v>408</v>
      </c>
      <c r="L29" t="s">
        <v>409</v>
      </c>
      <c r="M29" t="s">
        <v>157</v>
      </c>
      <c r="N29" t="s">
        <v>410</v>
      </c>
      <c r="P29" t="s">
        <v>157</v>
      </c>
      <c r="Q29" t="s">
        <v>411</v>
      </c>
      <c r="S29" t="s">
        <v>217</v>
      </c>
      <c r="U29" t="s">
        <v>412</v>
      </c>
      <c r="V29" t="s">
        <v>390</v>
      </c>
      <c r="X29" t="s">
        <v>203</v>
      </c>
      <c r="Y29" t="s">
        <v>413</v>
      </c>
      <c r="Z29" t="s">
        <v>330</v>
      </c>
      <c r="AA29" t="s">
        <v>414</v>
      </c>
      <c r="AD29" t="s">
        <v>415</v>
      </c>
      <c r="AF29" t="s">
        <v>416</v>
      </c>
    </row>
    <row r="30" spans="2:32" x14ac:dyDescent="0.25">
      <c r="B30" t="s">
        <v>390</v>
      </c>
      <c r="C30" s="2" t="s">
        <v>172</v>
      </c>
      <c r="D30" t="s">
        <v>417</v>
      </c>
      <c r="E30" s="2" t="s">
        <v>254</v>
      </c>
      <c r="F30" t="s">
        <v>418</v>
      </c>
      <c r="G30" t="s">
        <v>419</v>
      </c>
      <c r="H30" t="s">
        <v>420</v>
      </c>
      <c r="I30" t="s">
        <v>421</v>
      </c>
      <c r="J30" t="s">
        <v>182</v>
      </c>
      <c r="K30" t="s">
        <v>422</v>
      </c>
      <c r="L30" t="s">
        <v>203</v>
      </c>
      <c r="M30" t="s">
        <v>183</v>
      </c>
      <c r="N30" t="s">
        <v>311</v>
      </c>
      <c r="P30" t="s">
        <v>172</v>
      </c>
      <c r="Q30" t="s">
        <v>423</v>
      </c>
      <c r="S30" t="s">
        <v>424</v>
      </c>
      <c r="U30" t="s">
        <v>425</v>
      </c>
      <c r="V30" t="s">
        <v>340</v>
      </c>
      <c r="X30" t="s">
        <v>426</v>
      </c>
      <c r="Y30" t="s">
        <v>254</v>
      </c>
      <c r="Z30" t="s">
        <v>200</v>
      </c>
      <c r="AA30" t="s">
        <v>240</v>
      </c>
      <c r="AD30" t="s">
        <v>300</v>
      </c>
      <c r="AF30" t="s">
        <v>203</v>
      </c>
    </row>
    <row r="31" spans="2:32" x14ac:dyDescent="0.25">
      <c r="B31" t="s">
        <v>427</v>
      </c>
      <c r="C31" t="s">
        <v>428</v>
      </c>
      <c r="D31" t="s">
        <v>429</v>
      </c>
      <c r="E31" s="2" t="s">
        <v>272</v>
      </c>
      <c r="F31" t="s">
        <v>430</v>
      </c>
      <c r="G31" t="s">
        <v>431</v>
      </c>
      <c r="H31" t="s">
        <v>432</v>
      </c>
      <c r="I31" t="s">
        <v>200</v>
      </c>
      <c r="J31" t="s">
        <v>433</v>
      </c>
      <c r="K31" t="s">
        <v>157</v>
      </c>
      <c r="L31" t="s">
        <v>240</v>
      </c>
      <c r="M31" t="s">
        <v>172</v>
      </c>
      <c r="N31" t="s">
        <v>203</v>
      </c>
      <c r="P31" t="s">
        <v>262</v>
      </c>
      <c r="Q31" t="s">
        <v>241</v>
      </c>
      <c r="S31" t="s">
        <v>434</v>
      </c>
      <c r="U31" t="s">
        <v>419</v>
      </c>
      <c r="V31" t="s">
        <v>420</v>
      </c>
      <c r="Y31" t="s">
        <v>185</v>
      </c>
      <c r="Z31" t="s">
        <v>380</v>
      </c>
      <c r="AA31" t="s">
        <v>292</v>
      </c>
      <c r="AD31" t="s">
        <v>435</v>
      </c>
      <c r="AF31" t="s">
        <v>292</v>
      </c>
    </row>
    <row r="32" spans="2:32" x14ac:dyDescent="0.25">
      <c r="B32" t="s">
        <v>340</v>
      </c>
      <c r="C32" s="2" t="s">
        <v>169</v>
      </c>
      <c r="D32" t="s">
        <v>241</v>
      </c>
      <c r="E32" t="s">
        <v>185</v>
      </c>
      <c r="F32" t="s">
        <v>436</v>
      </c>
      <c r="G32" t="s">
        <v>122</v>
      </c>
      <c r="H32" t="s">
        <v>437</v>
      </c>
      <c r="I32" t="s">
        <v>438</v>
      </c>
      <c r="J32" t="s">
        <v>76</v>
      </c>
      <c r="K32" t="s">
        <v>439</v>
      </c>
      <c r="L32" t="s">
        <v>440</v>
      </c>
      <c r="M32" t="s">
        <v>441</v>
      </c>
      <c r="N32" t="s">
        <v>442</v>
      </c>
      <c r="P32" t="s">
        <v>218</v>
      </c>
      <c r="Q32" t="s">
        <v>390</v>
      </c>
      <c r="S32" t="s">
        <v>266</v>
      </c>
      <c r="U32" t="s">
        <v>431</v>
      </c>
      <c r="V32" t="s">
        <v>432</v>
      </c>
      <c r="Y32" t="s">
        <v>443</v>
      </c>
      <c r="Z32" t="s">
        <v>444</v>
      </c>
      <c r="AD32" t="s">
        <v>445</v>
      </c>
    </row>
    <row r="33" spans="2:30" x14ac:dyDescent="0.25">
      <c r="B33" t="s">
        <v>446</v>
      </c>
      <c r="C33" t="s">
        <v>447</v>
      </c>
      <c r="D33" t="s">
        <v>390</v>
      </c>
      <c r="E33" t="s">
        <v>448</v>
      </c>
      <c r="F33" t="s">
        <v>449</v>
      </c>
      <c r="G33" s="2" t="s">
        <v>106</v>
      </c>
      <c r="I33" t="s">
        <v>450</v>
      </c>
      <c r="J33" t="s">
        <v>122</v>
      </c>
      <c r="K33" t="s">
        <v>172</v>
      </c>
      <c r="M33" t="s">
        <v>218</v>
      </c>
      <c r="N33" t="s">
        <v>451</v>
      </c>
      <c r="P33" t="s">
        <v>185</v>
      </c>
      <c r="Q33" t="s">
        <v>203</v>
      </c>
      <c r="S33" t="s">
        <v>397</v>
      </c>
      <c r="U33" t="s">
        <v>76</v>
      </c>
      <c r="V33" t="s">
        <v>240</v>
      </c>
      <c r="Y33" t="s">
        <v>361</v>
      </c>
      <c r="Z33" t="s">
        <v>452</v>
      </c>
      <c r="AD33" t="s">
        <v>453</v>
      </c>
    </row>
    <row r="34" spans="2:30" x14ac:dyDescent="0.25">
      <c r="B34" t="s">
        <v>454</v>
      </c>
      <c r="C34" t="s">
        <v>185</v>
      </c>
      <c r="D34" t="s">
        <v>409</v>
      </c>
      <c r="E34" t="s">
        <v>455</v>
      </c>
      <c r="F34" t="s">
        <v>456</v>
      </c>
      <c r="G34" s="2" t="s">
        <v>155</v>
      </c>
      <c r="I34" t="s">
        <v>457</v>
      </c>
      <c r="J34" t="s">
        <v>106</v>
      </c>
      <c r="K34" t="s">
        <v>169</v>
      </c>
      <c r="M34" t="s">
        <v>458</v>
      </c>
      <c r="N34" t="s">
        <v>459</v>
      </c>
      <c r="P34" t="s">
        <v>460</v>
      </c>
      <c r="Q34" t="s">
        <v>461</v>
      </c>
      <c r="S34" t="s">
        <v>462</v>
      </c>
      <c r="U34" t="s">
        <v>122</v>
      </c>
      <c r="V34" t="s">
        <v>463</v>
      </c>
      <c r="Y34" t="s">
        <v>464</v>
      </c>
      <c r="Z34" t="s">
        <v>424</v>
      </c>
      <c r="AD34" t="s">
        <v>424</v>
      </c>
    </row>
    <row r="35" spans="2:30" x14ac:dyDescent="0.25">
      <c r="B35" t="s">
        <v>465</v>
      </c>
      <c r="C35" t="s">
        <v>466</v>
      </c>
      <c r="D35" t="s">
        <v>203</v>
      </c>
      <c r="E35" t="s">
        <v>467</v>
      </c>
      <c r="F35" t="s">
        <v>468</v>
      </c>
      <c r="G35" t="s">
        <v>322</v>
      </c>
      <c r="I35" t="s">
        <v>469</v>
      </c>
      <c r="J35" t="s">
        <v>138</v>
      </c>
      <c r="K35" t="s">
        <v>232</v>
      </c>
      <c r="M35" t="s">
        <v>215</v>
      </c>
      <c r="N35" t="s">
        <v>240</v>
      </c>
      <c r="P35" t="s">
        <v>470</v>
      </c>
      <c r="Q35" t="s">
        <v>432</v>
      </c>
      <c r="S35" t="s">
        <v>432</v>
      </c>
      <c r="U35" t="s">
        <v>471</v>
      </c>
      <c r="V35" t="s">
        <v>472</v>
      </c>
      <c r="Y35" t="s">
        <v>473</v>
      </c>
      <c r="Z35" t="s">
        <v>241</v>
      </c>
      <c r="AD35" t="s">
        <v>474</v>
      </c>
    </row>
    <row r="36" spans="2:30" x14ac:dyDescent="0.25">
      <c r="B36" t="s">
        <v>475</v>
      </c>
      <c r="C36" t="s">
        <v>476</v>
      </c>
      <c r="D36" t="s">
        <v>240</v>
      </c>
      <c r="E36" t="s">
        <v>200</v>
      </c>
      <c r="F36" t="s">
        <v>477</v>
      </c>
      <c r="G36" t="s">
        <v>478</v>
      </c>
      <c r="I36" t="s">
        <v>479</v>
      </c>
      <c r="J36" t="s">
        <v>183</v>
      </c>
      <c r="K36" t="s">
        <v>480</v>
      </c>
      <c r="M36" t="s">
        <v>185</v>
      </c>
      <c r="N36" t="s">
        <v>481</v>
      </c>
      <c r="P36" t="s">
        <v>482</v>
      </c>
      <c r="Q36" t="s">
        <v>240</v>
      </c>
      <c r="S36" t="s">
        <v>240</v>
      </c>
      <c r="U36" t="s">
        <v>483</v>
      </c>
      <c r="V36" t="s">
        <v>484</v>
      </c>
      <c r="Y36" t="s">
        <v>485</v>
      </c>
      <c r="Z36" t="s">
        <v>390</v>
      </c>
      <c r="AD36" t="s">
        <v>486</v>
      </c>
    </row>
    <row r="37" spans="2:30" x14ac:dyDescent="0.25">
      <c r="B37" t="s">
        <v>487</v>
      </c>
      <c r="C37" t="s">
        <v>424</v>
      </c>
      <c r="E37" s="2" t="s">
        <v>380</v>
      </c>
      <c r="F37" t="s">
        <v>488</v>
      </c>
      <c r="G37" t="s">
        <v>489</v>
      </c>
      <c r="I37" t="s">
        <v>490</v>
      </c>
      <c r="J37" t="s">
        <v>491</v>
      </c>
      <c r="K37" t="s">
        <v>492</v>
      </c>
      <c r="M37" t="s">
        <v>493</v>
      </c>
      <c r="P37" t="s">
        <v>241</v>
      </c>
      <c r="S37" t="s">
        <v>494</v>
      </c>
      <c r="U37" t="s">
        <v>212</v>
      </c>
      <c r="Y37" t="s">
        <v>375</v>
      </c>
      <c r="Z37" t="s">
        <v>420</v>
      </c>
      <c r="AD37" t="s">
        <v>240</v>
      </c>
    </row>
    <row r="38" spans="2:30" x14ac:dyDescent="0.25">
      <c r="B38" t="s">
        <v>203</v>
      </c>
      <c r="C38" t="s">
        <v>495</v>
      </c>
      <c r="E38" t="s">
        <v>424</v>
      </c>
      <c r="F38" t="s">
        <v>496</v>
      </c>
      <c r="G38" t="s">
        <v>497</v>
      </c>
      <c r="I38" t="s">
        <v>498</v>
      </c>
      <c r="J38" t="s">
        <v>262</v>
      </c>
      <c r="K38" t="s">
        <v>499</v>
      </c>
      <c r="M38" t="s">
        <v>500</v>
      </c>
      <c r="P38" t="s">
        <v>390</v>
      </c>
      <c r="U38" t="s">
        <v>501</v>
      </c>
      <c r="Y38" t="s">
        <v>241</v>
      </c>
      <c r="Z38" t="s">
        <v>292</v>
      </c>
      <c r="AD38" t="s">
        <v>502</v>
      </c>
    </row>
    <row r="39" spans="2:30" x14ac:dyDescent="0.25">
      <c r="B39" s="2" t="s">
        <v>420</v>
      </c>
      <c r="C39" t="s">
        <v>503</v>
      </c>
      <c r="E39" t="s">
        <v>454</v>
      </c>
      <c r="F39" t="s">
        <v>504</v>
      </c>
      <c r="G39" t="s">
        <v>228</v>
      </c>
      <c r="I39" t="s">
        <v>505</v>
      </c>
      <c r="J39" t="s">
        <v>254</v>
      </c>
      <c r="K39" t="s">
        <v>218</v>
      </c>
      <c r="M39" t="s">
        <v>200</v>
      </c>
      <c r="P39" t="s">
        <v>340</v>
      </c>
      <c r="U39" t="s">
        <v>223</v>
      </c>
      <c r="Y39" t="s">
        <v>390</v>
      </c>
      <c r="Z39" t="s">
        <v>506</v>
      </c>
      <c r="AD39" t="s">
        <v>507</v>
      </c>
    </row>
    <row r="40" spans="2:30" x14ac:dyDescent="0.25">
      <c r="B40" t="s">
        <v>508</v>
      </c>
      <c r="C40" t="s">
        <v>509</v>
      </c>
      <c r="E40" t="s">
        <v>391</v>
      </c>
      <c r="F40" t="s">
        <v>510</v>
      </c>
      <c r="G40" t="s">
        <v>511</v>
      </c>
      <c r="J40" t="s">
        <v>198</v>
      </c>
      <c r="K40" t="s">
        <v>512</v>
      </c>
      <c r="M40" t="s">
        <v>513</v>
      </c>
      <c r="P40" t="s">
        <v>461</v>
      </c>
      <c r="U40" t="s">
        <v>106</v>
      </c>
      <c r="Y40" t="s">
        <v>203</v>
      </c>
      <c r="AD40" t="s">
        <v>514</v>
      </c>
    </row>
    <row r="41" spans="2:30" x14ac:dyDescent="0.25">
      <c r="B41" s="2" t="s">
        <v>515</v>
      </c>
      <c r="C41" t="s">
        <v>516</v>
      </c>
      <c r="E41" t="s">
        <v>517</v>
      </c>
      <c r="F41" t="s">
        <v>518</v>
      </c>
      <c r="G41" t="s">
        <v>157</v>
      </c>
      <c r="J41" t="s">
        <v>215</v>
      </c>
      <c r="K41" t="s">
        <v>519</v>
      </c>
      <c r="M41" t="s">
        <v>520</v>
      </c>
      <c r="P41" t="s">
        <v>495</v>
      </c>
      <c r="U41" t="s">
        <v>521</v>
      </c>
      <c r="Y41" t="s">
        <v>522</v>
      </c>
    </row>
    <row r="42" spans="2:30" x14ac:dyDescent="0.25">
      <c r="B42" s="2" t="s">
        <v>240</v>
      </c>
      <c r="C42" t="s">
        <v>523</v>
      </c>
      <c r="E42" t="s">
        <v>524</v>
      </c>
      <c r="F42" t="s">
        <v>525</v>
      </c>
      <c r="G42" t="s">
        <v>183</v>
      </c>
      <c r="J42" t="s">
        <v>185</v>
      </c>
      <c r="K42" t="s">
        <v>526</v>
      </c>
      <c r="M42" t="s">
        <v>424</v>
      </c>
      <c r="P42" t="s">
        <v>432</v>
      </c>
      <c r="U42" t="s">
        <v>527</v>
      </c>
      <c r="Y42" t="s">
        <v>528</v>
      </c>
    </row>
    <row r="43" spans="2:30" x14ac:dyDescent="0.25">
      <c r="B43" s="2" t="s">
        <v>529</v>
      </c>
      <c r="C43" t="s">
        <v>240</v>
      </c>
      <c r="E43" t="s">
        <v>530</v>
      </c>
      <c r="F43" t="s">
        <v>531</v>
      </c>
      <c r="G43" t="s">
        <v>532</v>
      </c>
      <c r="J43" t="s">
        <v>533</v>
      </c>
      <c r="K43" t="s">
        <v>349</v>
      </c>
      <c r="M43" t="s">
        <v>534</v>
      </c>
      <c r="P43" t="s">
        <v>240</v>
      </c>
      <c r="U43" t="s">
        <v>535</v>
      </c>
      <c r="Y43" t="s">
        <v>536</v>
      </c>
    </row>
    <row r="44" spans="2:30" x14ac:dyDescent="0.25">
      <c r="B44" s="2" t="s">
        <v>506</v>
      </c>
      <c r="C44" t="s">
        <v>537</v>
      </c>
      <c r="E44" t="s">
        <v>538</v>
      </c>
      <c r="F44" t="s">
        <v>539</v>
      </c>
      <c r="G44" t="s">
        <v>172</v>
      </c>
      <c r="J44" t="s">
        <v>540</v>
      </c>
      <c r="K44" t="s">
        <v>541</v>
      </c>
      <c r="M44" t="s">
        <v>542</v>
      </c>
      <c r="P44" t="s">
        <v>292</v>
      </c>
      <c r="U44" t="s">
        <v>354</v>
      </c>
      <c r="Y44" t="s">
        <v>543</v>
      </c>
    </row>
    <row r="45" spans="2:30" x14ac:dyDescent="0.25">
      <c r="C45" t="s">
        <v>544</v>
      </c>
      <c r="E45" t="s">
        <v>545</v>
      </c>
      <c r="F45" t="s">
        <v>546</v>
      </c>
      <c r="G45" t="s">
        <v>547</v>
      </c>
      <c r="J45" t="s">
        <v>300</v>
      </c>
      <c r="K45" t="s">
        <v>185</v>
      </c>
      <c r="M45" t="s">
        <v>446</v>
      </c>
      <c r="U45" t="s">
        <v>369</v>
      </c>
      <c r="Y45" t="s">
        <v>548</v>
      </c>
    </row>
    <row r="46" spans="2:30" x14ac:dyDescent="0.25">
      <c r="C46" t="s">
        <v>549</v>
      </c>
      <c r="E46" t="s">
        <v>550</v>
      </c>
      <c r="F46" t="s">
        <v>551</v>
      </c>
      <c r="G46" t="s">
        <v>169</v>
      </c>
      <c r="J46" t="s">
        <v>340</v>
      </c>
      <c r="K46" t="s">
        <v>552</v>
      </c>
      <c r="M46" t="s">
        <v>553</v>
      </c>
      <c r="U46" t="s">
        <v>554</v>
      </c>
      <c r="Y46" t="s">
        <v>555</v>
      </c>
    </row>
    <row r="47" spans="2:30" x14ac:dyDescent="0.25">
      <c r="C47" t="s">
        <v>556</v>
      </c>
      <c r="E47" t="s">
        <v>557</v>
      </c>
      <c r="F47" t="s">
        <v>558</v>
      </c>
      <c r="G47" t="s">
        <v>262</v>
      </c>
      <c r="J47" t="s">
        <v>434</v>
      </c>
      <c r="K47" t="s">
        <v>375</v>
      </c>
      <c r="M47" t="s">
        <v>391</v>
      </c>
      <c r="U47" t="s">
        <v>155</v>
      </c>
      <c r="Y47" t="s">
        <v>420</v>
      </c>
    </row>
    <row r="48" spans="2:30" x14ac:dyDescent="0.25">
      <c r="C48" t="s">
        <v>559</v>
      </c>
      <c r="E48" t="s">
        <v>560</v>
      </c>
      <c r="F48" t="s">
        <v>561</v>
      </c>
      <c r="G48" t="s">
        <v>218</v>
      </c>
      <c r="J48" t="s">
        <v>562</v>
      </c>
      <c r="K48" t="s">
        <v>482</v>
      </c>
      <c r="M48" t="s">
        <v>563</v>
      </c>
      <c r="U48" t="s">
        <v>322</v>
      </c>
      <c r="Y48" t="s">
        <v>564</v>
      </c>
    </row>
    <row r="49" spans="3:25" x14ac:dyDescent="0.25">
      <c r="C49" t="s">
        <v>292</v>
      </c>
      <c r="E49" t="s">
        <v>565</v>
      </c>
      <c r="F49" t="s">
        <v>566</v>
      </c>
      <c r="G49" t="s">
        <v>567</v>
      </c>
      <c r="J49" t="s">
        <v>266</v>
      </c>
      <c r="K49" t="s">
        <v>200</v>
      </c>
      <c r="M49" t="s">
        <v>568</v>
      </c>
      <c r="U49" t="s">
        <v>288</v>
      </c>
      <c r="Y49" t="s">
        <v>569</v>
      </c>
    </row>
    <row r="50" spans="3:25" x14ac:dyDescent="0.25">
      <c r="C50" t="s">
        <v>570</v>
      </c>
      <c r="E50" t="s">
        <v>432</v>
      </c>
      <c r="F50" t="s">
        <v>571</v>
      </c>
      <c r="G50" t="s">
        <v>572</v>
      </c>
      <c r="J50" t="s">
        <v>573</v>
      </c>
      <c r="K50" t="s">
        <v>574</v>
      </c>
      <c r="M50" t="s">
        <v>465</v>
      </c>
      <c r="U50" t="s">
        <v>305</v>
      </c>
      <c r="Y50" t="s">
        <v>575</v>
      </c>
    </row>
    <row r="51" spans="3:25" x14ac:dyDescent="0.25">
      <c r="C51" t="s">
        <v>576</v>
      </c>
      <c r="E51" t="s">
        <v>577</v>
      </c>
      <c r="F51" t="s">
        <v>578</v>
      </c>
      <c r="G51" t="s">
        <v>215</v>
      </c>
      <c r="J51" t="s">
        <v>579</v>
      </c>
      <c r="K51" t="s">
        <v>409</v>
      </c>
      <c r="M51" t="s">
        <v>420</v>
      </c>
      <c r="U51" t="s">
        <v>321</v>
      </c>
      <c r="Y51" t="s">
        <v>580</v>
      </c>
    </row>
    <row r="52" spans="3:25" x14ac:dyDescent="0.25">
      <c r="E52" t="s">
        <v>240</v>
      </c>
      <c r="F52" t="s">
        <v>581</v>
      </c>
      <c r="G52" t="s">
        <v>185</v>
      </c>
      <c r="J52" t="s">
        <v>582</v>
      </c>
      <c r="K52" t="s">
        <v>583</v>
      </c>
      <c r="M52" t="s">
        <v>432</v>
      </c>
      <c r="U52" t="s">
        <v>228</v>
      </c>
      <c r="Y52" t="s">
        <v>432</v>
      </c>
    </row>
    <row r="53" spans="3:25" x14ac:dyDescent="0.25">
      <c r="E53" t="s">
        <v>292</v>
      </c>
      <c r="F53" t="s">
        <v>584</v>
      </c>
      <c r="G53" t="s">
        <v>585</v>
      </c>
      <c r="J53" t="s">
        <v>586</v>
      </c>
      <c r="K53" t="s">
        <v>420</v>
      </c>
      <c r="M53" t="s">
        <v>240</v>
      </c>
      <c r="U53" t="s">
        <v>587</v>
      </c>
      <c r="Y53" t="s">
        <v>588</v>
      </c>
    </row>
    <row r="54" spans="3:25" x14ac:dyDescent="0.25">
      <c r="E54" t="s">
        <v>484</v>
      </c>
      <c r="F54" t="s">
        <v>589</v>
      </c>
      <c r="G54" t="s">
        <v>200</v>
      </c>
      <c r="J54" t="s">
        <v>397</v>
      </c>
      <c r="K54" t="s">
        <v>432</v>
      </c>
      <c r="M54" t="s">
        <v>292</v>
      </c>
      <c r="U54" t="s">
        <v>590</v>
      </c>
      <c r="Y54" t="s">
        <v>591</v>
      </c>
    </row>
    <row r="55" spans="3:25" x14ac:dyDescent="0.25">
      <c r="F55" t="s">
        <v>592</v>
      </c>
      <c r="G55" t="s">
        <v>593</v>
      </c>
      <c r="J55" t="s">
        <v>594</v>
      </c>
      <c r="K55" t="s">
        <v>595</v>
      </c>
      <c r="M55" t="s">
        <v>596</v>
      </c>
      <c r="U55" t="s">
        <v>157</v>
      </c>
      <c r="Y55" t="s">
        <v>597</v>
      </c>
    </row>
    <row r="56" spans="3:25" x14ac:dyDescent="0.25">
      <c r="F56" t="s">
        <v>598</v>
      </c>
      <c r="G56" t="s">
        <v>599</v>
      </c>
      <c r="J56" t="s">
        <v>600</v>
      </c>
      <c r="K56" t="s">
        <v>601</v>
      </c>
      <c r="M56" t="s">
        <v>602</v>
      </c>
      <c r="U56" t="s">
        <v>603</v>
      </c>
      <c r="Y56" t="s">
        <v>604</v>
      </c>
    </row>
    <row r="57" spans="3:25" x14ac:dyDescent="0.25">
      <c r="F57" t="s">
        <v>605</v>
      </c>
      <c r="G57" t="s">
        <v>606</v>
      </c>
      <c r="J57" t="s">
        <v>607</v>
      </c>
      <c r="K57" t="s">
        <v>608</v>
      </c>
      <c r="U57" t="s">
        <v>609</v>
      </c>
      <c r="Y57" t="s">
        <v>610</v>
      </c>
    </row>
    <row r="58" spans="3:25" x14ac:dyDescent="0.25">
      <c r="F58" t="s">
        <v>611</v>
      </c>
      <c r="G58" t="s">
        <v>612</v>
      </c>
      <c r="J58" t="s">
        <v>240</v>
      </c>
      <c r="K58" t="s">
        <v>613</v>
      </c>
      <c r="U58" t="s">
        <v>614</v>
      </c>
      <c r="Y58" t="s">
        <v>615</v>
      </c>
    </row>
    <row r="59" spans="3:25" x14ac:dyDescent="0.25">
      <c r="F59" t="s">
        <v>616</v>
      </c>
      <c r="G59" t="s">
        <v>617</v>
      </c>
      <c r="J59" t="s">
        <v>292</v>
      </c>
      <c r="K59" t="s">
        <v>618</v>
      </c>
      <c r="U59" t="s">
        <v>619</v>
      </c>
      <c r="Y59" t="s">
        <v>620</v>
      </c>
    </row>
    <row r="60" spans="3:25" x14ac:dyDescent="0.25">
      <c r="F60" t="s">
        <v>621</v>
      </c>
      <c r="G60" t="s">
        <v>622</v>
      </c>
      <c r="U60" t="s">
        <v>183</v>
      </c>
      <c r="Y60" t="s">
        <v>623</v>
      </c>
    </row>
    <row r="61" spans="3:25" x14ac:dyDescent="0.25">
      <c r="F61" t="s">
        <v>624</v>
      </c>
      <c r="G61" t="s">
        <v>625</v>
      </c>
      <c r="U61" t="s">
        <v>626</v>
      </c>
      <c r="Y61" t="s">
        <v>627</v>
      </c>
    </row>
    <row r="62" spans="3:25" x14ac:dyDescent="0.25">
      <c r="F62" t="s">
        <v>628</v>
      </c>
      <c r="G62" t="s">
        <v>629</v>
      </c>
      <c r="U62" t="s">
        <v>630</v>
      </c>
      <c r="Y62" t="s">
        <v>631</v>
      </c>
    </row>
    <row r="63" spans="3:25" x14ac:dyDescent="0.25">
      <c r="F63" t="s">
        <v>632</v>
      </c>
      <c r="G63" t="s">
        <v>633</v>
      </c>
      <c r="U63" t="s">
        <v>172</v>
      </c>
      <c r="Y63" t="s">
        <v>634</v>
      </c>
    </row>
    <row r="64" spans="3:25" x14ac:dyDescent="0.25">
      <c r="F64" t="s">
        <v>635</v>
      </c>
      <c r="G64" t="s">
        <v>636</v>
      </c>
      <c r="U64" t="s">
        <v>357</v>
      </c>
      <c r="Y64" t="s">
        <v>637</v>
      </c>
    </row>
    <row r="65" spans="6:25" x14ac:dyDescent="0.25">
      <c r="F65" t="s">
        <v>638</v>
      </c>
      <c r="G65" t="s">
        <v>639</v>
      </c>
      <c r="U65" t="s">
        <v>640</v>
      </c>
      <c r="Y65" t="s">
        <v>641</v>
      </c>
    </row>
    <row r="66" spans="6:25" x14ac:dyDescent="0.25">
      <c r="F66" t="s">
        <v>642</v>
      </c>
      <c r="G66" t="s">
        <v>643</v>
      </c>
      <c r="U66" t="s">
        <v>218</v>
      </c>
      <c r="Y66" t="s">
        <v>644</v>
      </c>
    </row>
    <row r="67" spans="6:25" x14ac:dyDescent="0.25">
      <c r="F67" t="s">
        <v>645</v>
      </c>
      <c r="G67" t="s">
        <v>646</v>
      </c>
      <c r="U67" t="s">
        <v>647</v>
      </c>
      <c r="Y67" t="s">
        <v>648</v>
      </c>
    </row>
    <row r="68" spans="6:25" x14ac:dyDescent="0.25">
      <c r="F68" t="s">
        <v>649</v>
      </c>
      <c r="G68" t="s">
        <v>650</v>
      </c>
      <c r="U68" t="s">
        <v>519</v>
      </c>
      <c r="Y68" t="s">
        <v>651</v>
      </c>
    </row>
    <row r="69" spans="6:25" x14ac:dyDescent="0.25">
      <c r="F69" t="s">
        <v>652</v>
      </c>
      <c r="G69" t="s">
        <v>653</v>
      </c>
      <c r="U69" t="s">
        <v>526</v>
      </c>
      <c r="Y69" t="s">
        <v>654</v>
      </c>
    </row>
    <row r="70" spans="6:25" x14ac:dyDescent="0.25">
      <c r="F70" t="s">
        <v>655</v>
      </c>
      <c r="G70" t="s">
        <v>656</v>
      </c>
      <c r="U70" t="s">
        <v>657</v>
      </c>
      <c r="Y70" t="s">
        <v>658</v>
      </c>
    </row>
    <row r="71" spans="6:25" x14ac:dyDescent="0.25">
      <c r="F71" t="s">
        <v>659</v>
      </c>
      <c r="G71" t="s">
        <v>420</v>
      </c>
      <c r="U71" t="s">
        <v>215</v>
      </c>
      <c r="Y71" t="s">
        <v>660</v>
      </c>
    </row>
    <row r="72" spans="6:25" x14ac:dyDescent="0.25">
      <c r="F72" t="s">
        <v>661</v>
      </c>
      <c r="G72" t="s">
        <v>432</v>
      </c>
      <c r="U72" t="s">
        <v>185</v>
      </c>
      <c r="Y72" t="s">
        <v>662</v>
      </c>
    </row>
    <row r="73" spans="6:25" x14ac:dyDescent="0.25">
      <c r="F73" t="s">
        <v>663</v>
      </c>
      <c r="G73" t="s">
        <v>664</v>
      </c>
      <c r="U73" t="s">
        <v>410</v>
      </c>
      <c r="Y73" t="s">
        <v>665</v>
      </c>
    </row>
    <row r="74" spans="6:25" x14ac:dyDescent="0.25">
      <c r="F74" t="s">
        <v>666</v>
      </c>
      <c r="G74" t="s">
        <v>667</v>
      </c>
      <c r="U74" t="s">
        <v>200</v>
      </c>
      <c r="Y74" t="s">
        <v>668</v>
      </c>
    </row>
    <row r="75" spans="6:25" x14ac:dyDescent="0.25">
      <c r="F75" t="s">
        <v>669</v>
      </c>
      <c r="G75" t="s">
        <v>670</v>
      </c>
      <c r="U75" t="s">
        <v>671</v>
      </c>
      <c r="Y75" t="s">
        <v>672</v>
      </c>
    </row>
    <row r="76" spans="6:25" x14ac:dyDescent="0.25">
      <c r="F76" t="s">
        <v>673</v>
      </c>
      <c r="G76" t="s">
        <v>292</v>
      </c>
      <c r="U76" t="s">
        <v>424</v>
      </c>
      <c r="Y76" t="s">
        <v>674</v>
      </c>
    </row>
    <row r="77" spans="6:25" x14ac:dyDescent="0.25">
      <c r="F77" t="s">
        <v>675</v>
      </c>
      <c r="G77" t="s">
        <v>676</v>
      </c>
      <c r="U77" t="s">
        <v>677</v>
      </c>
      <c r="Y77" t="s">
        <v>678</v>
      </c>
    </row>
    <row r="78" spans="6:25" x14ac:dyDescent="0.25">
      <c r="F78" t="s">
        <v>679</v>
      </c>
      <c r="G78" t="s">
        <v>680</v>
      </c>
      <c r="U78" t="s">
        <v>681</v>
      </c>
      <c r="Y78" t="s">
        <v>682</v>
      </c>
    </row>
    <row r="79" spans="6:25" x14ac:dyDescent="0.25">
      <c r="F79" t="s">
        <v>683</v>
      </c>
      <c r="G79" t="s">
        <v>684</v>
      </c>
      <c r="U79" t="s">
        <v>685</v>
      </c>
      <c r="Y79" t="s">
        <v>686</v>
      </c>
    </row>
    <row r="80" spans="6:25" x14ac:dyDescent="0.25">
      <c r="F80" t="s">
        <v>687</v>
      </c>
      <c r="G80" t="s">
        <v>688</v>
      </c>
      <c r="U80" t="s">
        <v>689</v>
      </c>
      <c r="Y80" t="s">
        <v>690</v>
      </c>
    </row>
    <row r="81" spans="6:25" x14ac:dyDescent="0.25">
      <c r="F81" t="s">
        <v>691</v>
      </c>
      <c r="G81" t="s">
        <v>692</v>
      </c>
      <c r="U81" t="s">
        <v>420</v>
      </c>
      <c r="Y81" t="s">
        <v>693</v>
      </c>
    </row>
    <row r="82" spans="6:25" x14ac:dyDescent="0.25">
      <c r="F82" t="s">
        <v>694</v>
      </c>
      <c r="G82" t="s">
        <v>695</v>
      </c>
      <c r="U82" t="s">
        <v>696</v>
      </c>
      <c r="Y82" t="s">
        <v>697</v>
      </c>
    </row>
    <row r="83" spans="6:25" x14ac:dyDescent="0.25">
      <c r="F83" t="s">
        <v>698</v>
      </c>
      <c r="G83" t="s">
        <v>494</v>
      </c>
      <c r="U83" t="s">
        <v>699</v>
      </c>
      <c r="Y83" t="s">
        <v>700</v>
      </c>
    </row>
    <row r="84" spans="6:25" x14ac:dyDescent="0.25">
      <c r="F84" t="s">
        <v>701</v>
      </c>
      <c r="U84" t="s">
        <v>459</v>
      </c>
      <c r="Y84" t="s">
        <v>702</v>
      </c>
    </row>
    <row r="85" spans="6:25" x14ac:dyDescent="0.25">
      <c r="F85" t="s">
        <v>703</v>
      </c>
      <c r="U85" t="s">
        <v>432</v>
      </c>
      <c r="Y85" t="s">
        <v>704</v>
      </c>
    </row>
    <row r="86" spans="6:25" x14ac:dyDescent="0.25">
      <c r="F86" t="s">
        <v>705</v>
      </c>
      <c r="U86" t="s">
        <v>706</v>
      </c>
      <c r="Y86" t="s">
        <v>707</v>
      </c>
    </row>
    <row r="87" spans="6:25" x14ac:dyDescent="0.25">
      <c r="F87" t="s">
        <v>708</v>
      </c>
      <c r="U87" t="s">
        <v>709</v>
      </c>
      <c r="Y87" t="s">
        <v>710</v>
      </c>
    </row>
    <row r="88" spans="6:25" x14ac:dyDescent="0.25">
      <c r="F88" t="s">
        <v>711</v>
      </c>
      <c r="U88" t="s">
        <v>712</v>
      </c>
    </row>
    <row r="89" spans="6:25" x14ac:dyDescent="0.25">
      <c r="F89" t="s">
        <v>713</v>
      </c>
      <c r="U89" t="s">
        <v>240</v>
      </c>
    </row>
    <row r="90" spans="6:25" x14ac:dyDescent="0.25">
      <c r="F90" t="s">
        <v>714</v>
      </c>
      <c r="U90" t="s">
        <v>292</v>
      </c>
    </row>
    <row r="91" spans="6:25" x14ac:dyDescent="0.25">
      <c r="F91" t="s">
        <v>715</v>
      </c>
      <c r="U91" t="s">
        <v>618</v>
      </c>
    </row>
    <row r="92" spans="6:25" x14ac:dyDescent="0.25">
      <c r="F92" t="s">
        <v>716</v>
      </c>
      <c r="U92" t="s">
        <v>717</v>
      </c>
    </row>
    <row r="93" spans="6:25" x14ac:dyDescent="0.25">
      <c r="F93" t="s">
        <v>718</v>
      </c>
    </row>
    <row r="94" spans="6:25" x14ac:dyDescent="0.25">
      <c r="F94" t="s">
        <v>719</v>
      </c>
    </row>
    <row r="95" spans="6:25" x14ac:dyDescent="0.25">
      <c r="F95" t="s">
        <v>720</v>
      </c>
    </row>
    <row r="96" spans="6:25" x14ac:dyDescent="0.25">
      <c r="F96" t="s">
        <v>721</v>
      </c>
    </row>
    <row r="97" spans="6:6" x14ac:dyDescent="0.25">
      <c r="F97" t="s">
        <v>722</v>
      </c>
    </row>
    <row r="98" spans="6:6" x14ac:dyDescent="0.25">
      <c r="F98" t="s">
        <v>723</v>
      </c>
    </row>
    <row r="99" spans="6:6" x14ac:dyDescent="0.25">
      <c r="F99" t="s">
        <v>724</v>
      </c>
    </row>
    <row r="100" spans="6:6" x14ac:dyDescent="0.25">
      <c r="F100" t="s">
        <v>725</v>
      </c>
    </row>
    <row r="101" spans="6:6" x14ac:dyDescent="0.25">
      <c r="F101" t="s">
        <v>726</v>
      </c>
    </row>
    <row r="102" spans="6:6" x14ac:dyDescent="0.25">
      <c r="F102" t="s">
        <v>727</v>
      </c>
    </row>
    <row r="103" spans="6:6" x14ac:dyDescent="0.25">
      <c r="F103" t="s">
        <v>728</v>
      </c>
    </row>
    <row r="104" spans="6:6" x14ac:dyDescent="0.25">
      <c r="F104" t="s">
        <v>729</v>
      </c>
    </row>
    <row r="105" spans="6:6" x14ac:dyDescent="0.25">
      <c r="F105" t="s">
        <v>730</v>
      </c>
    </row>
    <row r="106" spans="6:6" x14ac:dyDescent="0.25">
      <c r="F106" t="s">
        <v>731</v>
      </c>
    </row>
    <row r="107" spans="6:6" x14ac:dyDescent="0.25">
      <c r="F107" t="s">
        <v>732</v>
      </c>
    </row>
    <row r="108" spans="6:6" x14ac:dyDescent="0.25">
      <c r="F108" t="s">
        <v>733</v>
      </c>
    </row>
    <row r="109" spans="6:6" x14ac:dyDescent="0.25">
      <c r="F109" t="s">
        <v>734</v>
      </c>
    </row>
    <row r="110" spans="6:6" x14ac:dyDescent="0.25">
      <c r="F110" t="s">
        <v>735</v>
      </c>
    </row>
    <row r="111" spans="6:6" x14ac:dyDescent="0.25">
      <c r="F111" t="s">
        <v>736</v>
      </c>
    </row>
    <row r="112" spans="6:6" x14ac:dyDescent="0.25">
      <c r="F112" t="s">
        <v>737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Kaustubh Keny</cp:lastModifiedBy>
  <dcterms:created xsi:type="dcterms:W3CDTF">2025-02-21T09:51:21Z</dcterms:created>
  <dcterms:modified xsi:type="dcterms:W3CDTF">2025-02-21T10:37:40Z</dcterms:modified>
</cp:coreProperties>
</file>